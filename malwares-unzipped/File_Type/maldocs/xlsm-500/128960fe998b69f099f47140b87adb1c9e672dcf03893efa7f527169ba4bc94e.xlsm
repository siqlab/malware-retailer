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:\Dokumente TeamAdmin\BerechnungsTools\SteherTool\Source\"/>
    </mc:Choice>
  </mc:AlternateContent>
  <xr:revisionPtr revIDLastSave="0" documentId="8_{48A3BE6A-D79A-4A5D-9EC9-6A386B658E45}" xr6:coauthVersionLast="47" xr6:coauthVersionMax="47" xr10:uidLastSave="{00000000-0000-0000-0000-000000000000}"/>
  <workbookProtection workbookAlgorithmName="SHA-512" workbookHashValue="dG2PKhM9Hg3AGQbwHNhZnjpxmZj59lE3dOhPdWfl2C5AzlDdko2W5KzpoUkabv+eKfaV5HX1Iba7zGYh6YHwiA==" workbookSaltValue="nIUm53gnWqfbWVHxXS7u8w==" workbookSpinCount="100000" lockStructure="1"/>
  <bookViews>
    <workbookView xWindow="-120" yWindow="-120" windowWidth="29040" windowHeight="15990" xr2:uid="{00000000-000D-0000-FFFF-FFFF00000000}"/>
  </bookViews>
  <sheets>
    <sheet name="Eingabe" sheetId="1" r:id="rId1"/>
    <sheet name="Berechnungstabellen" sheetId="2" state="veryHidden" r:id="rId2"/>
    <sheet name="Source" sheetId="4" state="veryHidden" r:id="rId3"/>
    <sheet name="Settings" sheetId="5" state="veryHidden" r:id="rId4"/>
  </sheets>
  <functionGroups builtInGroupCount="19"/>
  <externalReferences>
    <externalReference r:id="rId5"/>
  </externalReferences>
  <definedNames>
    <definedName name="Abfrage_von_Excel_Files" localSheetId="2" hidden="1">Source!$D$1:$T$1921</definedName>
    <definedName name="Daten.Artikeltyp">tabSource[[#This Row],[Typ]]</definedName>
    <definedName name="Daten.Bohrungen">tabSource[[#This Row],[Bohren]]</definedName>
    <definedName name="Daten.Durchmesser">tabSource[[#This Row],[Durchmesser Rohr]]</definedName>
    <definedName name="Daten.EK">tabSource[[#This Row],[EK]]</definedName>
    <definedName name="Daten.Material">tabSource[[#This Row],[Material]]</definedName>
    <definedName name="Daten.Oberfläche">tabSource[[#This Row],[Oberfläche]]</definedName>
    <definedName name="Daten.Schweißen">tabSource[[#This Row],[Schweißen]]</definedName>
    <definedName name="Daten.SKP">tabSource[[#This Row],[SKP]]</definedName>
    <definedName name="Daten.Stärke">tabSource[[#This Row],[Stärke]]</definedName>
    <definedName name="Daten.VKDE">tabSource[[#This Row],[VK-DE]]</definedName>
    <definedName name="Daten.VKIT">tabSource[[#This Row],[VK-IT]]</definedName>
    <definedName name="Eingabe.Ausrichtung">Eingabe!$C$10</definedName>
    <definedName name="Eingabe.DurchmesserStärke">Eingabe!$C$8</definedName>
    <definedName name="Eingabe.Länge">Eingabe!$C$9</definedName>
    <definedName name="Eingabe.Material">Eingabe!$C$6</definedName>
    <definedName name="Eingabe.Menge">Eingabe!$C$4</definedName>
    <definedName name="Eingabe.Nummer">Eingabe!$C$11</definedName>
    <definedName name="Eingabe.Oberfläche">Eingabe!$C$7</definedName>
    <definedName name="Eingabe.Typen">Eingabe!$C$5</definedName>
    <definedName name="Fehler.Gewicht">SUM(COUNTIF(tabRohr[art.],"&lt;&gt;")-COUNTIF(tabRohr[Sum Gew.],"&gt;0"),COUNTIF(tabArtikelliste[A],"&lt;&gt;")-COUNTIF(tabArtikelliste[Sum Gew.],"&gt;0"),COUNTIF(tabExtraBearbeitung[Spalte1],"&lt;&gt;")-COUNTIF(tabExtraBearbeitung[Sum Gew.],"&gt;0"))&lt;&gt;0</definedName>
    <definedName name="Fehler.Kompatibilität">SUM(Liste.FehlerKompatibilität)&gt;0</definedName>
    <definedName name="Fehler.Menge">Eingabe.Menge&lt;Eingabe.Typen</definedName>
    <definedName name="Fehler.VKP">SUM(Liste.FehlerVKP)&gt;0</definedName>
    <definedName name="Filter.Artikel">OFFSET(tabE_Artikel[Artikel],0,0,COUNTIF(tabE_Artikel[Artikel],"&lt;&gt; "),1)</definedName>
    <definedName name="Filter.Artikeltyp">tabE_Artikeltyp[Artikeltyp]</definedName>
    <definedName name="Filter.Ausrichtung">tabE_Ausrichtung[Ausrichtung]</definedName>
    <definedName name="Filter.Durchmesser">tabE_ØSteher[ØSteher]</definedName>
    <definedName name="Filter.Kunde">OFFSET(tabS_Client[Filter],0,0,COUNTIF(tabS_Client[Filter],"&lt;&gt;-"))</definedName>
    <definedName name="Filter.Kundenart">tabE_Kundenart[Kundenart]</definedName>
    <definedName name="Filter.KundenNat">tabE_KundenNat[KundenNat]</definedName>
    <definedName name="Filter.Material">tabE_Material[Material]</definedName>
    <definedName name="Filter.Nummer">tabE_Nummer[Nummer]</definedName>
    <definedName name="Filter.Oberfläche">tabE_Oberfläche[Oberfläche]</definedName>
    <definedName name="Filter.Sprache">tabE_Sprache[Sprache]</definedName>
    <definedName name="Filter.SpracheInterface">OFFSET(tabS_Interface[Filter],0,0,COUNTIF(tabS_Interface[Filter],"&lt;&gt;-"))</definedName>
    <definedName name="Liste.Artikel">tabE_Artikel[Artikel]</definedName>
    <definedName name="Liste.Beschreibung">INDEX(tabSource[Kurzbeschreibung],Liste.ZeilenIndex)</definedName>
    <definedName name="Liste.Bohrungen">SUM(tabB_Artikelliste[Bohrungen])</definedName>
    <definedName name="Liste.EK">IFERROR(VALUE(INDEX(tabSource[EK],Liste.ZeilenIndex)),0)</definedName>
    <definedName name="Liste.FehlerKompatibilität">ISERROR(MATCH(TEXT(Eingabe!$B1,"@"),Liste.Artikel,0))</definedName>
    <definedName name="Liste.FehlerSKP">IF(COUNTA(tabArtikelliste[A])-COUNTIF(tabArtikelliste[Sum SKP],"&gt;0")=0,1,#VALUE!)*IF(COUNT(tabArtikelliste[n])-COUNTIF(tabArtikelliste[Sum SKP],"&gt;0")=0,1,#VALUE!)*IF(AND(TRIM(CLEAN(tabRohr[art.]))&lt;&gt;"",TRIM(CLEAN(tabRohr[n]))&lt;&gt;""),1,#VALUE!)</definedName>
    <definedName name="Liste.FehlerVKP">Eingabe!$E1=0</definedName>
    <definedName name="Liste.Gewicht">VALUE(INDEX(tabSource[Gewicht],Liste.ZeilenIndex))</definedName>
    <definedName name="Liste.Montage">IFERROR(tabArtikelliste[[#This Row],[n]]*VALUE(INDEX(tabSource[Montage],Liste.ZeilenIndex)),0)</definedName>
    <definedName name="Liste.Schweißen">SUM(tabB_Artikelliste[Schweißen])</definedName>
    <definedName name="Liste.Seite">VALUE(INDEX(tabSource[Seite],Liste.ZeilenIndex))</definedName>
    <definedName name="Liste.SKP">VALUE(INDEX(tabSource[SKP],Liste.ZeilenIndex))</definedName>
    <definedName name="Liste.VKP">IFERROR(VALUE(INDEX(tabSource[[VK-DE]:[VK-IT]],Liste.ZeilenIndex,MATCH(Sprache.Kunde,Filter.Sprache,0))),0)</definedName>
    <definedName name="Liste.ZeilenIndex">MATCH("&lt;"&amp;INDEX(tabArtikelliste[A],ROW()-ROW(tabArtikelliste[#Headers]))&amp;"&gt;",tabSource[ID],0)</definedName>
    <definedName name="Liste.Zusatz.DEU">"("&amp;INDEX(tabB_ÜbersetzungBeschreibung[DEU],MATCH(Liste.Beschreibung,tabB_ÜbersetzungBeschreibung[Eingabe],0))&amp;", "&amp;INDEX(tabB_Übersetzungen[DEU],MATCH("Seite",tabB_Übersetzungen[Eingabe],0))&amp;" "&amp;Liste.Seite&amp;")"</definedName>
    <definedName name="Liste.Zusatz.ENG">"("&amp;INDEX(tabB_ÜbersetzungBeschreibung[ENG],MATCH(Liste.Beschreibung,tabB_ÜbersetzungBeschreibung[Eingabe],0))&amp;", "&amp;INDEX(tabB_Übersetzungen[ENG],MATCH("Seite",tabB_Übersetzungen[Eingabe],0))&amp;" "&amp;Liste.Seite&amp;")"</definedName>
    <definedName name="Liste.Zusatz.FRA">"("&amp;INDEX(tabB_ÜbersetzungBeschreibung[FRA],MATCH(Liste.Beschreibung,tabB_ÜbersetzungBeschreibung[Eingabe],0))&amp;", "&amp;INDEX(tabB_Übersetzungen[FRA],MATCH("Seite",tabB_Übersetzungen[Eingabe],0))&amp;" "&amp;Liste.Seite&amp;")"</definedName>
    <definedName name="Liste.Zusatz.ITA">"("&amp;INDEX(tabB_ÜbersetzungBeschreibung[ITA],MATCH(Liste.Beschreibung,tabB_ÜbersetzungBeschreibung[Eingabe],0))&amp;", "&amp;INDEX(tabB_Übersetzungen[ITA],MATCH("Seite",tabB_Übersetzungen[Eingabe],0))&amp;" "&amp;Liste.Seite&amp;")"</definedName>
    <definedName name="Preis.AufschlagEK">Eingabe!$I$5</definedName>
    <definedName name="Preis.AufschlagTotale">INDEX(tabE_KundenNat[KundenSkont],MATCH(Sprache.Kunde,Filter.KundenNat,0))</definedName>
    <definedName name="Preis.AufschlagVK">CHOOSE(IFERROR(MATCH(Sprache.Kundensprache,Filter.Kundenart,0),1),1.4,1.5)</definedName>
    <definedName name="Preis.SatzSKP">Eingabe!$I$3</definedName>
    <definedName name="Preis.SatzVKP">Eingabe!$I$4</definedName>
    <definedName name="Preis.SkontoRohmaterial">IF(Sprache.Kunde="DEU",0,Eingabe!$I$6)</definedName>
    <definedName name="Preis.SkontoTeile">IF(Sprache.Kunde="DEU",0,Eingabe!$I$7)</definedName>
    <definedName name="Rohr.EK">INDEX(tabSource[EK],Rohr.ZeilenIndex)</definedName>
    <definedName name="Rohr.Gewicht">INDEX(tabSource[Gewicht],Rohr.ZeilenIndex)</definedName>
    <definedName name="Rohr.SKP">INDEX(tabSource[SKP],Rohr.ZeilenIndex)</definedName>
    <definedName name="Rohr.VKP">INDEX(tabSource[[VK-DE]:[VK-IT]],Rohr.ZeilenIndex,MATCH(Sprache.Kunde,Filter.Sprache,0))</definedName>
    <definedName name="Rohr.ZeilenIndex">MATCH("&lt;"&amp;INDEX(tabRohr[art.],ROW()-ROW(tabRohr[#Headers]))&amp;"&gt;",tabSource[ID],0)</definedName>
    <definedName name="Settings.CurUser">"Default"</definedName>
    <definedName name="Settings.CurUserID">IFERROR(INDEX(tabS_User[UserID],Settings.CurUserRow),"")</definedName>
    <definedName name="Settings.CurUserOutputLang">IFERROR(INDEX(tabS_User[OutputLang],Settings.CurUserRow),"")</definedName>
    <definedName name="Settings.CurUserRow">IFERROR(MATCH(Settings.CurUser,tabS_User[UserName],0),"")</definedName>
    <definedName name="Settings.CurUserType">IFERROR(INDEX(tabS_User[UserType],Settings.CurUserRow),"")</definedName>
    <definedName name="Settings.FileName">""</definedName>
    <definedName name="Sprache.Ausgabe">Eingabe!$L$7</definedName>
    <definedName name="Sprache.Interface">Eingabe!$L$5</definedName>
    <definedName name="Sprache.Kunde">Eingabe!$C$3</definedName>
    <definedName name="Steher.Ausrichtung">INDEX(tabE_ÜbersetzungAusrichtung[DEU],MATCH(Eingabe.Ausrichtung,Filter.Ausrichtung,0))</definedName>
    <definedName name="Steher.Durchmesser">LEFT(Eingabe.DurchmesserStärke,LEN(Eingabe.DurchmesserStärke)-4)</definedName>
    <definedName name="Steher.Oberfläche">INDEX(tabE_ÜbersetzungOberfläche[DEU],MATCH(Eingabe.Oberfläche,Filter.Oberfläche,0))</definedName>
    <definedName name="Steher.Rohr">IFERROR(INDEX(tabSource[Artikel],SMALL(tabSource[Rohr],COUNTIF(tabSource[Rohr],"=0")+1))," ")</definedName>
    <definedName name="Steher.Stärke">RIGHT(Eingabe.DurchmesserStärke,3)</definedName>
    <definedName name="Text.01">Eingabe.Nummer</definedName>
    <definedName name="Text.02">IF(Eingabe.Nummer&lt;&gt;""," - ","")</definedName>
    <definedName name="Text.03.DEU">"Geländerpfosten, "</definedName>
    <definedName name="Text.03.ENG">"Baluster post, "</definedName>
    <definedName name="Text.03.FRA">"Poteau, "</definedName>
    <definedName name="Text.03.ITA">"Montante, "</definedName>
    <definedName name="Text.04.DEU">INDEX(tabB_Übersetzungen[DEU],MATCH(Steher.Ausrichtung,tabB_Übersetzungen[Eingabe],0))</definedName>
    <definedName name="Text.04.ENG">INDEX(tabB_Übersetzungen[ENG],MATCH(Steher.Ausrichtung,tabB_Übersetzungen[Eingabe],0))</definedName>
    <definedName name="Text.04.FRA">INDEX(tabB_Übersetzungen[FRA],MATCH(Steher.Ausrichtung,tabB_Übersetzungen[Eingabe],0))</definedName>
    <definedName name="Text.04.ITA">INDEX(tabB_Übersetzungen[ITA],MATCH(Steher.Ausrichtung,tabB_Übersetzungen[Eingabe],0))</definedName>
    <definedName name="Text.05">IF(Eingabe.Ausrichtung&lt;&gt;"",", H=","H=")</definedName>
    <definedName name="Text.06">Eingabe.Länge</definedName>
    <definedName name="Text.07">IF(LEN(Eingabe.DurchmesserStärke)=8,"mm, Ø","mm, ")</definedName>
    <definedName name="Text.08">Eingabe.DurchmesserStärke</definedName>
    <definedName name="Text.09.DEU">"mm, aus Material "</definedName>
    <definedName name="Text.09.ENG">"mm, in material "</definedName>
    <definedName name="Text.09.FRA">"mm, en "</definedName>
    <definedName name="Text.09.ITA">"mm, in materiale "</definedName>
    <definedName name="Text.10.DEU">INDEX(tabB_Übersetzungen[DEU],MATCH(Eingabe.Material,tabB_Übersetzungen[Eingabe],0))</definedName>
    <definedName name="Text.10.ENG">INDEX(tabB_Übersetzungen[ENG],MATCH(Eingabe.Material,tabB_Übersetzungen[Eingabe],0))</definedName>
    <definedName name="Text.10.FRA">INDEX(tabB_Übersetzungen[FRA],MATCH(Eingabe.Material,tabB_Übersetzungen[Eingabe],0))</definedName>
    <definedName name="Text.10.ITA">INDEX(tabB_Übersetzungen[ITA],MATCH(Eingabe.Material,tabB_Übersetzungen[Eingabe],0))</definedName>
    <definedName name="Text.11">", "</definedName>
    <definedName name="Text.12.DEU">INDEX(tabB_Übersetzungen[DEU],MATCH(Steher.Oberfläche,tabB_Übersetzungen[Eingabe],0))</definedName>
    <definedName name="Text.12.ENG">INDEX(tabB_Übersetzungen[ENG],MATCH(Steher.Oberfläche,tabB_Übersetzungen[Eingabe],0))</definedName>
    <definedName name="Text.12.FRA">INDEX(tabB_Übersetzungen[FRA],MATCH(Steher.Oberfläche,tabB_Übersetzungen[Eingabe],0))</definedName>
    <definedName name="Text.12.ITA">INDEX(tabB_Übersetzungen[ITA],MATCH(Steher.Oberfläche,tabB_Übersetzungen[Eingabe],0))</definedName>
    <definedName name="Text.13.DEU">", mit montierten Artikeln:"&amp;CHAR(10)</definedName>
    <definedName name="Text.13.ENG">", with mounted articles:"&amp;CHAR(10)</definedName>
    <definedName name="Text.13.FRA">", déjà assemblé avec les accessoires suivants:"&amp;CHAR(10)</definedName>
    <definedName name="Text.13.ITA">", con accessori montati:"&amp;CHAR(10)</definedName>
    <definedName name="Text.14">SUBSTITUTE(Text.ListeArtikel," - 0x 0"&amp;CHAR(10),"")</definedName>
    <definedName name="Text.14.DEU">SUBSTITUTE(Text.ListeArtikel.DEU," - 0x 0"&amp;CHAR(10),"")</definedName>
    <definedName name="Text.14.ENG">SUBSTITUTE(Text.ListeArtikel.ENG," - 0x 0"&amp;CHAR(10),"")</definedName>
    <definedName name="Text.14.FRA">SUBSTITUTE(Text.ListeArtikel.FRA," - 0x 0"&amp;CHAR(10),"")</definedName>
    <definedName name="Text.14.ITA">SUBSTITUTE(Text.ListeArtikel.ITA," - 0x 0"&amp;CHAR(10),"")</definedName>
    <definedName name="Text.15">SUBSTITUTE(Text.ListeExtra," - 0"&amp;CHAR(10),"")</definedName>
    <definedName name="Text.16">""</definedName>
    <definedName name="Text.16.bkp">" ("&amp;TEXT(Eingabe.Menge,"000")&amp;TEXT(Eingabe.Typen,"00")&amp;TEXT(SUM(tabExtraBearbeitung[n]),"00")&amp;")"</definedName>
    <definedName name="Text.DEU">SUBSTITUTE(Text.01&amp;Text.02&amp;Text.03.DEU&amp;Text.04.DEU&amp;Text.05&amp;Text.06&amp;Text.07&amp;Text.08&amp;Text.09.DEU&amp;Text.10.DEU&amp;Text.11&amp;Text.12.DEU&amp;Text.13.DEU&amp;Text.14.DEU&amp;Text.15&amp;Text.WPS.DEU&amp;Text.16,CHAR(10)&amp;" (","(")</definedName>
    <definedName name="Text.ENG">SUBSTITUTE(Text.01&amp;Text.02&amp;Text.03.ENG&amp;Text.04.ENG&amp;Text.05&amp;Text.06&amp;Text.07&amp;Text.08&amp;Text.09.ENG&amp;Text.10.ENG&amp;Text.11&amp;Text.12.ENG&amp;Text.13.ENG&amp;Text.14.ENG&amp;Text.15&amp;Text.WPS.ENG&amp;Text.16,CHAR(10)&amp;" (","(")</definedName>
    <definedName name="Text.FRA">SUBSTITUTE(Text.01&amp;Text.02&amp;Text.03.FRA&amp;Text.04.FRA&amp;Text.05&amp;Text.06&amp;Text.07&amp;Text.08&amp;Text.09.FRA&amp;Text.10.FRA&amp;Text.11&amp;Text.12.FRA&amp;Text.13.FRA&amp;Text.14.FRA&amp;Text.15&amp;Text.WPS.FRA&amp;Text.16,CHAR(10)&amp;" (","(")</definedName>
    <definedName name="Text.ITA">SUBSTITUTE(Text.01&amp;Text.02&amp;Text.03.ITA&amp;Text.04.ITA&amp;Text.05&amp;Text.06&amp;Text.07&amp;Text.08&amp;Text.09.ITA&amp;Text.10.ITA&amp;Text.11&amp;Text.12.ITA&amp;Text.13.ITA&amp;Text.14.ITA&amp;Text.15&amp;Text.WPS.ITA&amp;Text.16,CHAR(10)&amp;" (","(")</definedName>
    <definedName name="Text.ListeArtikel">INDEX(tabB_Artikelliste[Liste],1)&amp;INDEX(tabB_Artikelliste[Liste],2)&amp;INDEX(tabB_Artikelliste[Liste],3)&amp;INDEX(tabB_Artikelliste[Liste],4)&amp;INDEX(tabB_Artikelliste[Liste],5)&amp;INDEX(tabB_Artikelliste[Liste],6)&amp;INDEX(tabB_Artikelliste[Liste],7)&amp;INDEX(tabB_Artikelliste[Liste],8)&amp;INDEX(tabB_Artikelliste[Liste],9)&amp;INDEX(tabB_Artikelliste[Liste],10)&amp;INDEX(tabB_Artikelliste[Liste],11)&amp;INDEX(tabB_Artikelliste[Liste],12)&amp;INDEX(tabB_Artikelliste[Liste],13)&amp;INDEX(tabB_Artikelliste[Liste],14)&amp;INDEX(tabB_Artikelliste[Liste],15)</definedName>
    <definedName name="Text.ListeArtikel.DEU">INDEX(tabB_Artikelliste[Liste DEU],1)&amp;INDEX(tabB_Artikelliste[Liste DEU],2)&amp;INDEX(tabB_Artikelliste[Liste DEU],3)&amp;INDEX(tabB_Artikelliste[Liste DEU],4)&amp;INDEX(tabB_Artikelliste[Liste DEU],5)&amp;INDEX(tabB_Artikelliste[Liste DEU],6)&amp;INDEX(tabB_Artikelliste[Liste DEU],7)&amp;INDEX(tabB_Artikelliste[Liste DEU],8)&amp;INDEX(tabB_Artikelliste[Liste DEU],9)&amp;INDEX(tabB_Artikelliste[Liste DEU],10)&amp;INDEX(tabB_Artikelliste[Liste DEU],11)&amp;INDEX(tabB_Artikelliste[Liste DEU],12)&amp;INDEX(tabB_Artikelliste[Liste DEU],13)&amp;INDEX(tabB_Artikelliste[Liste DEU],14)&amp;INDEX(tabB_Artikelliste[Liste DEU],15)</definedName>
    <definedName name="Text.ListeArtikel.ENG">INDEX(tabB_Artikelliste[Liste ENG],1)&amp;INDEX(tabB_Artikelliste[Liste ENG],2)&amp;INDEX(tabB_Artikelliste[Liste ENG],3)&amp;INDEX(tabB_Artikelliste[Liste ENG],4)&amp;INDEX(tabB_Artikelliste[Liste ENG],5)&amp;INDEX(tabB_Artikelliste[Liste ENG],6)&amp;INDEX(tabB_Artikelliste[Liste ENG],7)&amp;INDEX(tabB_Artikelliste[Liste ENG],8)&amp;INDEX(tabB_Artikelliste[Liste ENG],9)&amp;INDEX(tabB_Artikelliste[Liste ENG],10)&amp;INDEX(tabB_Artikelliste[Liste ENG],11)&amp;INDEX(tabB_Artikelliste[Liste ENG],12)&amp;INDEX(tabB_Artikelliste[Liste ENG],13)&amp;INDEX(tabB_Artikelliste[Liste ENG],14)&amp;INDEX(tabB_Artikelliste[Liste ENG],15)</definedName>
    <definedName name="Text.ListeArtikel.FRA">INDEX(tabB_Artikelliste[Liste FRA],1)&amp;INDEX(tabB_Artikelliste[Liste FRA],2)&amp;INDEX(tabB_Artikelliste[Liste FRA],3)&amp;INDEX(tabB_Artikelliste[Liste FRA],4)&amp;INDEX(tabB_Artikelliste[Liste FRA],5)&amp;INDEX(tabB_Artikelliste[Liste FRA],6)&amp;INDEX(tabB_Artikelliste[Liste FRA],7)&amp;INDEX(tabB_Artikelliste[Liste FRA],8)&amp;INDEX(tabB_Artikelliste[Liste FRA],9)&amp;INDEX(tabB_Artikelliste[Liste FRA],10)&amp;INDEX(tabB_Artikelliste[Liste FRA],11)&amp;INDEX(tabB_Artikelliste[Liste FRA],12)&amp;INDEX(tabB_Artikelliste[Liste FRA],13)&amp;INDEX(tabB_Artikelliste[Liste FRA],14)&amp;INDEX(tabB_Artikelliste[Liste FRA],15)</definedName>
    <definedName name="Text.ListeArtikel.ITA">INDEX(tabB_Artikelliste[Liste ITA],1)&amp;INDEX(tabB_Artikelliste[Liste ITA],2)&amp;INDEX(tabB_Artikelliste[Liste ITA],3)&amp;INDEX(tabB_Artikelliste[Liste ITA],4)&amp;INDEX(tabB_Artikelliste[Liste ITA],5)&amp;INDEX(tabB_Artikelliste[Liste ITA],6)&amp;INDEX(tabB_Artikelliste[Liste ITA],7)&amp;INDEX(tabB_Artikelliste[Liste ITA],8)&amp;INDEX(tabB_Artikelliste[Liste ITA],9)&amp;INDEX(tabB_Artikelliste[Liste ITA],10)&amp;INDEX(tabB_Artikelliste[Liste ITA],11)&amp;INDEX(tabB_Artikelliste[Liste ITA],12)&amp;INDEX(tabB_Artikelliste[Liste ITA],13)&amp;INDEX(tabB_Artikelliste[Liste ITA],14)&amp;INDEX(tabB_Artikelliste[Liste ITA],15)</definedName>
    <definedName name="Text.ListeExtra">INDEX(tabB_Extra[Liste],1)&amp;INDEX(tabB_Extra[Liste],2)&amp;INDEX(tabB_Extra[Liste],3)&amp;INDEX(tabB_Extra[Liste],4)&amp;INDEX(tabB_Extra[Liste],5)</definedName>
    <definedName name="Text.WPS">tabB_WPS[[#Totals],[WPS]]</definedName>
    <definedName name="Text.WPS.DEU">IF(Text.WPS&lt;&gt;""," - "&amp;INDEX(tabB_Übersetzungen[DEU],MATCH(Berechnungstabellen!$Z$30,tabB_Übersetzungen[Eingabe],0))&amp;Text.WPS,"")</definedName>
    <definedName name="Text.WPS.ENG">IF(Text.WPS&lt;&gt;""," - "&amp;INDEX(tabB_Übersetzungen[ENG],MATCH(Berechnungstabellen!$Z$30,tabB_Übersetzungen[Eingabe],0))&amp;Text.WPS,"")</definedName>
    <definedName name="Text.WPS.FRA">IF(Text.WPS&lt;&gt;""," - "&amp;INDEX(tabB_Übersetzungen[FRA],MATCH(Berechnungstabellen!$Z$30,tabB_Übersetzungen[Eingabe],0))&amp;Text.WPS,"")</definedName>
    <definedName name="Text.WPS.ITA">IF(Text.WPS&lt;&gt;""," - "&amp;INDEX(tabB_Übersetzungen[ITA],MATCH(Berechnungstabellen!$Z$30,tabB_Übersetzungen[Eingabe],0))&amp;Text.WPS,"")</definedName>
    <definedName name="Totale.Gewicht">SUM(tabExtraBearbeitung[Sum Gew.],tabArtikelliste[Sum Gew.],tabRohr[Sum Gew.])</definedName>
    <definedName name="Totale.Montage">SUM(Eingabe!$O$17:$O$26)</definedName>
    <definedName name="Totale.SkontoIncl">Totale.VKP-Totale.SkontoRohmaterial-Totale.SkontoTeile</definedName>
    <definedName name="Totale.SkontoRohmaterial">SUM(tabRohr[Sum Gew.])*Preis.SkontoRohmaterial/100</definedName>
    <definedName name="Totale.SkontoTeile">SUM(tabArtikelliste[Sum Gew.])*Preis.SkontoTeile/100</definedName>
    <definedName name="Totale.SKP">SUM(tabBearbeitung[Sum SKP],tabExtraBearbeitung[Sum SKP],tabArtikelliste[Sum SKP],tabRohr[Sum SKP])</definedName>
    <definedName name="Totale.VKP">SUM(#REF!,tabExtraBearbeitung[Sum Gew.],tabArtikelliste[Sum Gew.],tabRohr[Sum Gew.])</definedName>
    <definedName name="Zeit.Bohren">Eingabe!$E$6</definedName>
    <definedName name="Zeit.BohrenRst">Eingabe!$E$5</definedName>
    <definedName name="Zeit.Polieren">Eingabe!$E$9</definedName>
    <definedName name="Zeit.Schweißen">Eingabe!$E$8</definedName>
    <definedName name="Zeit.SchweißenRst">Eingabe!$E$7</definedName>
    <definedName name="Zeit.Zeichnen">Eingabe!$E$3</definedName>
    <definedName name="Zeit.Zuschneiden">Eingabe!$E$4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2" i="5" l="1" a="1"/>
  <c r="N62" i="5" s="1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B11" i="1"/>
  <c r="N2" i="2"/>
  <c r="N3" i="2"/>
  <c r="N4" i="2"/>
  <c r="N5" i="2"/>
  <c r="N6" i="2"/>
  <c r="N7" i="2"/>
  <c r="N8" i="2"/>
  <c r="N71" i="5" a="1"/>
  <c r="N71" i="5" s="1"/>
  <c r="J40" i="5" a="1"/>
  <c r="J40" i="5" s="1"/>
  <c r="N67" i="5" a="1"/>
  <c r="N67" i="5" s="1"/>
  <c r="N68" i="5" a="1"/>
  <c r="N68" i="5" s="1"/>
  <c r="N69" i="5" a="1"/>
  <c r="N69" i="5" s="1"/>
  <c r="N70" i="5" a="1"/>
  <c r="N70" i="5" s="1"/>
  <c r="J39" i="5" a="1"/>
  <c r="J39" i="5" s="1"/>
  <c r="J38" i="5" a="1"/>
  <c r="J38" i="5" s="1"/>
  <c r="B2" i="1" l="1"/>
  <c r="K48" i="1" l="1"/>
  <c r="N66" i="5" l="1" a="1"/>
  <c r="N66" i="5" s="1"/>
  <c r="N65" i="5" a="1"/>
  <c r="N65" i="5" s="1"/>
  <c r="N64" i="5" a="1"/>
  <c r="N64" i="5" s="1"/>
  <c r="N63" i="5" a="1"/>
  <c r="N63" i="5" s="1"/>
  <c r="J37" i="5" a="1"/>
  <c r="J37" i="5" s="1"/>
  <c r="J36" i="5" a="1"/>
  <c r="J36" i="5" s="1"/>
  <c r="N61" i="5" a="1"/>
  <c r="N61" i="5" s="1"/>
  <c r="N60" i="5" a="1"/>
  <c r="N60" i="5" s="1"/>
  <c r="J35" i="5" a="1"/>
  <c r="J35" i="5" s="1"/>
  <c r="J34" i="5" a="1"/>
  <c r="J34" i="5" s="1"/>
  <c r="J12" i="5" l="1" a="1"/>
  <c r="J12" i="5" s="1"/>
  <c r="N59" i="5" l="1" a="1"/>
  <c r="N59" i="5" s="1"/>
  <c r="J33" i="5" a="1"/>
  <c r="J33" i="5" s="1"/>
  <c r="J32" i="5" a="1"/>
  <c r="J32" i="5" s="1"/>
  <c r="G29" i="1" l="1"/>
  <c r="G30" i="1"/>
  <c r="G31" i="1"/>
  <c r="G32" i="1"/>
  <c r="G33" i="1"/>
  <c r="F17" i="1"/>
  <c r="F18" i="1"/>
  <c r="F19" i="1"/>
  <c r="F20" i="1"/>
  <c r="F21" i="1"/>
  <c r="F22" i="1"/>
  <c r="F23" i="1"/>
  <c r="F24" i="1"/>
  <c r="F25" i="1"/>
  <c r="F26" i="1"/>
  <c r="AK12" i="2"/>
  <c r="AK13" i="2"/>
  <c r="AK14" i="2"/>
  <c r="AK15" i="2"/>
  <c r="AK16" i="2"/>
  <c r="N55" i="5" l="1" a="1"/>
  <c r="N55" i="5" s="1"/>
  <c r="N56" i="5" a="1"/>
  <c r="N56" i="5" s="1"/>
  <c r="N57" i="5" a="1"/>
  <c r="N57" i="5" s="1"/>
  <c r="N58" i="5" a="1"/>
  <c r="N58" i="5" s="1"/>
  <c r="J30" i="5" a="1"/>
  <c r="J30" i="5" s="1"/>
  <c r="J29" i="5" a="1"/>
  <c r="J29" i="5" s="1"/>
  <c r="J31" i="5" a="1"/>
  <c r="J31" i="5" s="1"/>
  <c r="J28" i="5" a="1"/>
  <c r="J28" i="5" s="1"/>
  <c r="O17" i="1" l="1"/>
  <c r="C14" i="1" l="1"/>
  <c r="N51" i="5" l="1" a="1"/>
  <c r="N51" i="5" s="1"/>
  <c r="N52" i="5" a="1"/>
  <c r="N52" i="5" s="1"/>
  <c r="N53" i="5" a="1"/>
  <c r="N53" i="5" s="1"/>
  <c r="N54" i="5" a="1"/>
  <c r="N54" i="5" s="1"/>
  <c r="J27" i="5" a="1"/>
  <c r="J27" i="5" s="1"/>
  <c r="J26" i="5" a="1"/>
  <c r="J26" i="5" s="1"/>
  <c r="N47" i="5" l="1" a="1"/>
  <c r="N47" i="5" s="1"/>
  <c r="N48" i="5" a="1"/>
  <c r="N48" i="5" s="1"/>
  <c r="N49" i="5" a="1"/>
  <c r="N49" i="5" s="1"/>
  <c r="N50" i="5" a="1"/>
  <c r="N50" i="5" s="1"/>
  <c r="J25" i="5" a="1"/>
  <c r="J25" i="5" s="1"/>
  <c r="J24" i="5" a="1"/>
  <c r="J24" i="5" s="1"/>
  <c r="N46" i="5" l="1" a="1"/>
  <c r="N46" i="5" s="1"/>
  <c r="N45" i="5" a="1"/>
  <c r="N45" i="5" s="1"/>
  <c r="N44" i="5" a="1"/>
  <c r="N44" i="5" s="1"/>
  <c r="N43" i="5" a="1"/>
  <c r="N43" i="5" s="1"/>
  <c r="J23" i="5" a="1"/>
  <c r="J23" i="5" s="1"/>
  <c r="J22" i="5" a="1"/>
  <c r="J22" i="5" s="1"/>
  <c r="N39" i="5" l="1" a="1"/>
  <c r="N39" i="5" s="1"/>
  <c r="N40" i="5" a="1"/>
  <c r="N40" i="5" s="1"/>
  <c r="N41" i="5" a="1"/>
  <c r="N41" i="5" s="1"/>
  <c r="N42" i="5" a="1"/>
  <c r="N42" i="5" s="1"/>
  <c r="J20" i="5" a="1"/>
  <c r="J20" i="5" s="1"/>
  <c r="J19" i="5" a="1"/>
  <c r="J19" i="5" s="1"/>
  <c r="J21" i="5" a="1"/>
  <c r="J21" i="5" s="1"/>
  <c r="J18" i="5" a="1"/>
  <c r="J18" i="5" s="1"/>
  <c r="B10" i="1" l="1"/>
  <c r="N2" i="5" l="1" a="1"/>
  <c r="N2" i="5" s="1"/>
  <c r="J2" i="5" a="1"/>
  <c r="J2" i="5" s="1"/>
  <c r="J5" i="5" a="1"/>
  <c r="J5" i="5" s="1"/>
  <c r="J3" i="5" a="1"/>
  <c r="J3" i="5" s="1"/>
  <c r="J4" i="5" a="1"/>
  <c r="J4" i="5" s="1"/>
  <c r="J6" i="5" a="1"/>
  <c r="J6" i="5" s="1"/>
  <c r="J7" i="5" a="1"/>
  <c r="J7" i="5" s="1"/>
  <c r="J8" i="5" a="1"/>
  <c r="J8" i="5" s="1"/>
  <c r="J9" i="5" a="1"/>
  <c r="J9" i="5" s="1"/>
  <c r="J10" i="5" a="1"/>
  <c r="J10" i="5" s="1"/>
  <c r="J11" i="5" a="1"/>
  <c r="J11" i="5" s="1"/>
  <c r="J13" i="5" a="1"/>
  <c r="J13" i="5" s="1"/>
  <c r="J14" i="5" a="1"/>
  <c r="J14" i="5" s="1"/>
  <c r="J15" i="5" a="1"/>
  <c r="J15" i="5" s="1"/>
  <c r="J16" i="5" a="1"/>
  <c r="J16" i="5" s="1"/>
  <c r="J17" i="5" a="1"/>
  <c r="J17" i="5" s="1"/>
  <c r="N38" i="5" l="1" a="1"/>
  <c r="N38" i="5" s="1"/>
  <c r="N37" i="5" a="1"/>
  <c r="N37" i="5" s="1"/>
  <c r="N36" i="5" a="1"/>
  <c r="N36" i="5" s="1"/>
  <c r="N35" i="5" a="1"/>
  <c r="N35" i="5" s="1"/>
  <c r="H17" i="1" l="1"/>
  <c r="AK2" i="2" s="1"/>
  <c r="H18" i="1"/>
  <c r="AK3" i="2" s="1"/>
  <c r="H19" i="1"/>
  <c r="AK4" i="2" s="1"/>
  <c r="H20" i="1"/>
  <c r="AK5" i="2" s="1"/>
  <c r="H21" i="1"/>
  <c r="AK6" i="2" s="1"/>
  <c r="H22" i="1"/>
  <c r="AK7" i="2" s="1"/>
  <c r="H23" i="1"/>
  <c r="AK8" i="2" s="1"/>
  <c r="H24" i="1"/>
  <c r="AK9" i="2" s="1"/>
  <c r="H25" i="1"/>
  <c r="AK10" i="2" s="1"/>
  <c r="H26" i="1"/>
  <c r="AK11" i="2" s="1"/>
  <c r="I17" i="1"/>
  <c r="AI2" i="2" s="1"/>
  <c r="I18" i="1"/>
  <c r="AI3" i="2" s="1"/>
  <c r="I19" i="1"/>
  <c r="AI4" i="2" s="1"/>
  <c r="I20" i="1"/>
  <c r="I21" i="1"/>
  <c r="I22" i="1"/>
  <c r="AI12" i="2" s="1"/>
  <c r="I23" i="1"/>
  <c r="AI13" i="2" s="1"/>
  <c r="I24" i="1"/>
  <c r="AI14" i="2" s="1"/>
  <c r="I25" i="1"/>
  <c r="AI15" i="2" s="1"/>
  <c r="I26" i="1"/>
  <c r="AI16" i="2" s="1"/>
  <c r="AI8" i="2" l="1"/>
  <c r="AI11" i="2"/>
  <c r="AI7" i="2"/>
  <c r="AI10" i="2"/>
  <c r="AI6" i="2"/>
  <c r="AI9" i="2"/>
  <c r="AI5" i="2"/>
  <c r="AH11" i="2" l="1"/>
  <c r="AJ11" i="2"/>
  <c r="AG11" i="2"/>
  <c r="AJ13" i="2"/>
  <c r="AG13" i="2"/>
  <c r="AH13" i="2"/>
  <c r="AG9" i="2"/>
  <c r="AH9" i="2"/>
  <c r="AJ9" i="2"/>
  <c r="AG5" i="2"/>
  <c r="AJ5" i="2"/>
  <c r="AH5" i="2"/>
  <c r="AG16" i="2"/>
  <c r="AH16" i="2"/>
  <c r="AJ16" i="2"/>
  <c r="AH12" i="2"/>
  <c r="AG12" i="2"/>
  <c r="AJ12" i="2"/>
  <c r="AJ8" i="2"/>
  <c r="AH8" i="2"/>
  <c r="AG8" i="2"/>
  <c r="AH4" i="2"/>
  <c r="AG4" i="2"/>
  <c r="AJ4" i="2"/>
  <c r="AG15" i="2"/>
  <c r="AJ15" i="2"/>
  <c r="AH15" i="2"/>
  <c r="AG7" i="2"/>
  <c r="AJ7" i="2"/>
  <c r="AH7" i="2"/>
  <c r="AG3" i="2"/>
  <c r="AH3" i="2"/>
  <c r="AJ3" i="2"/>
  <c r="AJ14" i="2"/>
  <c r="AG14" i="2"/>
  <c r="AH14" i="2"/>
  <c r="AJ10" i="2"/>
  <c r="AG10" i="2"/>
  <c r="AH10" i="2"/>
  <c r="AH6" i="2"/>
  <c r="AJ6" i="2"/>
  <c r="AG6" i="2"/>
  <c r="AJ2" i="2"/>
  <c r="AG2" i="2"/>
  <c r="AH2" i="2"/>
  <c r="J4" i="2"/>
  <c r="J5" i="2"/>
  <c r="N34" i="5" l="1" a="1"/>
  <c r="N34" i="5" s="1"/>
  <c r="N3" i="5" l="1" a="1"/>
  <c r="N3" i="5" s="1"/>
  <c r="N4" i="5" a="1"/>
  <c r="N4" i="5" s="1"/>
  <c r="N5" i="5" a="1"/>
  <c r="N5" i="5" s="1"/>
  <c r="N6" i="5" a="1"/>
  <c r="N6" i="5" s="1"/>
  <c r="N7" i="5" a="1"/>
  <c r="N7" i="5" s="1"/>
  <c r="N8" i="5" a="1"/>
  <c r="N8" i="5" s="1"/>
  <c r="N9" i="5" a="1"/>
  <c r="N9" i="5" s="1"/>
  <c r="N10" i="5" a="1"/>
  <c r="N10" i="5" s="1"/>
  <c r="N11" i="5" a="1"/>
  <c r="N11" i="5" s="1"/>
  <c r="N12" i="5" a="1"/>
  <c r="N12" i="5" s="1"/>
  <c r="N13" i="5" a="1"/>
  <c r="N13" i="5" s="1"/>
  <c r="N14" i="5" a="1"/>
  <c r="N14" i="5" s="1"/>
  <c r="N15" i="5" a="1"/>
  <c r="N15" i="5" s="1"/>
  <c r="N16" i="5" a="1"/>
  <c r="N16" i="5" s="1"/>
  <c r="N17" i="5" a="1"/>
  <c r="N17" i="5" s="1"/>
  <c r="N18" i="5" a="1"/>
  <c r="N18" i="5" s="1"/>
  <c r="N19" i="5" a="1"/>
  <c r="N19" i="5" s="1"/>
  <c r="N20" i="5" a="1"/>
  <c r="N20" i="5" s="1"/>
  <c r="N21" i="5" a="1"/>
  <c r="N21" i="5" s="1"/>
  <c r="N22" i="5" a="1"/>
  <c r="N22" i="5" s="1"/>
  <c r="N23" i="5" a="1"/>
  <c r="N23" i="5" s="1"/>
  <c r="N24" i="5" a="1"/>
  <c r="N24" i="5" s="1"/>
  <c r="N25" i="5" a="1"/>
  <c r="N25" i="5" s="1"/>
  <c r="N26" i="5" a="1"/>
  <c r="N26" i="5" s="1"/>
  <c r="N27" i="5" a="1"/>
  <c r="N27" i="5" s="1"/>
  <c r="N28" i="5" a="1"/>
  <c r="N28" i="5" s="1"/>
  <c r="N29" i="5" a="1"/>
  <c r="N29" i="5" s="1"/>
  <c r="N30" i="5" a="1"/>
  <c r="N30" i="5" s="1"/>
  <c r="N31" i="5" a="1"/>
  <c r="N31" i="5" s="1"/>
  <c r="N32" i="5" a="1"/>
  <c r="N32" i="5" s="1"/>
  <c r="N33" i="5" a="1"/>
  <c r="N33" i="5" s="1"/>
  <c r="AD28" i="2" l="1"/>
  <c r="N21" i="1" l="1"/>
  <c r="N26" i="1"/>
  <c r="N25" i="1"/>
  <c r="N24" i="1"/>
  <c r="N23" i="1"/>
  <c r="N22" i="1"/>
  <c r="G17" i="1"/>
  <c r="G18" i="1"/>
  <c r="G19" i="1"/>
  <c r="G20" i="1"/>
  <c r="G21" i="1"/>
  <c r="G22" i="1"/>
  <c r="G23" i="1"/>
  <c r="G24" i="1"/>
  <c r="G25" i="1"/>
  <c r="G26" i="1"/>
  <c r="K7" i="1" l="1"/>
  <c r="H7" i="1"/>
  <c r="H6" i="1"/>
  <c r="H4" i="1"/>
  <c r="H3" i="1"/>
  <c r="D9" i="1"/>
  <c r="D8" i="1"/>
  <c r="D7" i="1"/>
  <c r="D6" i="1"/>
  <c r="D5" i="1"/>
  <c r="D4" i="1"/>
  <c r="D3" i="1"/>
  <c r="K5" i="1"/>
  <c r="O18" i="1" l="1"/>
  <c r="O19" i="1"/>
  <c r="O20" i="1"/>
  <c r="O21" i="1"/>
  <c r="O22" i="1"/>
  <c r="O23" i="1"/>
  <c r="O24" i="1"/>
  <c r="O25" i="1"/>
  <c r="O26" i="1"/>
  <c r="D17" i="1" l="1"/>
  <c r="F2" i="2" l="1"/>
  <c r="F3" i="2"/>
  <c r="B3" i="1"/>
  <c r="J2" i="2" l="1"/>
  <c r="J3" i="2"/>
  <c r="B4" i="1"/>
  <c r="D18" i="1" l="1"/>
  <c r="D19" i="1"/>
  <c r="D20" i="1"/>
  <c r="D21" i="1"/>
  <c r="D22" i="1"/>
  <c r="D23" i="1"/>
  <c r="D24" i="1"/>
  <c r="D25" i="1"/>
  <c r="D26" i="1"/>
  <c r="K4" i="1"/>
  <c r="B9" i="1"/>
  <c r="B8" i="1"/>
  <c r="B7" i="1"/>
  <c r="B6" i="1"/>
  <c r="B5" i="1"/>
  <c r="X3" i="2" l="1"/>
  <c r="X19" i="2"/>
  <c r="X35" i="2"/>
  <c r="X51" i="2"/>
  <c r="X67" i="2"/>
  <c r="X83" i="2"/>
  <c r="X99" i="2"/>
  <c r="X115" i="2"/>
  <c r="X131" i="2"/>
  <c r="X147" i="2"/>
  <c r="X163" i="2"/>
  <c r="X179" i="2"/>
  <c r="X195" i="2"/>
  <c r="X211" i="2"/>
  <c r="X227" i="2"/>
  <c r="X243" i="2"/>
  <c r="X259" i="2"/>
  <c r="X275" i="2"/>
  <c r="X291" i="2"/>
  <c r="X307" i="2"/>
  <c r="X323" i="2"/>
  <c r="X339" i="2"/>
  <c r="X16" i="2"/>
  <c r="X32" i="2"/>
  <c r="X48" i="2"/>
  <c r="X64" i="2"/>
  <c r="X80" i="2"/>
  <c r="X96" i="2"/>
  <c r="X112" i="2"/>
  <c r="X128" i="2"/>
  <c r="X144" i="2"/>
  <c r="X160" i="2"/>
  <c r="X176" i="2"/>
  <c r="X192" i="2"/>
  <c r="X208" i="2"/>
  <c r="X224" i="2"/>
  <c r="X240" i="2"/>
  <c r="X256" i="2"/>
  <c r="X272" i="2"/>
  <c r="X288" i="2"/>
  <c r="X304" i="2"/>
  <c r="X320" i="2"/>
  <c r="X336" i="2"/>
  <c r="X17" i="2"/>
  <c r="X33" i="2"/>
  <c r="X49" i="2"/>
  <c r="X65" i="2"/>
  <c r="X81" i="2"/>
  <c r="X97" i="2"/>
  <c r="X113" i="2"/>
  <c r="X129" i="2"/>
  <c r="X145" i="2"/>
  <c r="X161" i="2"/>
  <c r="X177" i="2"/>
  <c r="X193" i="2"/>
  <c r="X209" i="2"/>
  <c r="X225" i="2"/>
  <c r="X241" i="2"/>
  <c r="X257" i="2"/>
  <c r="X273" i="2"/>
  <c r="X54" i="2"/>
  <c r="X118" i="2"/>
  <c r="X182" i="2"/>
  <c r="X246" i="2"/>
  <c r="X293" i="2"/>
  <c r="X325" i="2"/>
  <c r="X348" i="2"/>
  <c r="X364" i="2"/>
  <c r="X380" i="2"/>
  <c r="X396" i="2"/>
  <c r="X412" i="2"/>
  <c r="X428" i="2"/>
  <c r="X444" i="2"/>
  <c r="X460" i="2"/>
  <c r="X476" i="2"/>
  <c r="X492" i="2"/>
  <c r="X508" i="2"/>
  <c r="X524" i="2"/>
  <c r="X540" i="2"/>
  <c r="X556" i="2"/>
  <c r="X572" i="2"/>
  <c r="X42" i="2"/>
  <c r="X106" i="2"/>
  <c r="X170" i="2"/>
  <c r="X234" i="2"/>
  <c r="X286" i="2"/>
  <c r="X318" i="2"/>
  <c r="X345" i="2"/>
  <c r="X361" i="2"/>
  <c r="X377" i="2"/>
  <c r="X393" i="2"/>
  <c r="X409" i="2"/>
  <c r="X425" i="2"/>
  <c r="X441" i="2"/>
  <c r="X457" i="2"/>
  <c r="X473" i="2"/>
  <c r="X489" i="2"/>
  <c r="X505" i="2"/>
  <c r="X521" i="2"/>
  <c r="X537" i="2"/>
  <c r="X553" i="2"/>
  <c r="X569" i="2"/>
  <c r="X30" i="2"/>
  <c r="X94" i="2"/>
  <c r="X158" i="2"/>
  <c r="X222" i="2"/>
  <c r="X281" i="2"/>
  <c r="X313" i="2"/>
  <c r="X342" i="2"/>
  <c r="X358" i="2"/>
  <c r="X374" i="2"/>
  <c r="X390" i="2"/>
  <c r="X406" i="2"/>
  <c r="X422" i="2"/>
  <c r="X438" i="2"/>
  <c r="X454" i="2"/>
  <c r="X146" i="2"/>
  <c r="X338" i="2"/>
  <c r="X403" i="2"/>
  <c r="X463" i="2"/>
  <c r="X495" i="2"/>
  <c r="X527" i="2"/>
  <c r="X559" i="2"/>
  <c r="X585" i="2"/>
  <c r="X601" i="2"/>
  <c r="X617" i="2"/>
  <c r="X633" i="2"/>
  <c r="X649" i="2"/>
  <c r="X665" i="2"/>
  <c r="X681" i="2"/>
  <c r="X697" i="2"/>
  <c r="X713" i="2"/>
  <c r="X729" i="2"/>
  <c r="X745" i="2"/>
  <c r="X761" i="2"/>
  <c r="X777" i="2"/>
  <c r="X793" i="2"/>
  <c r="X809" i="2"/>
  <c r="X162" i="2"/>
  <c r="X343" i="2"/>
  <c r="X407" i="2"/>
  <c r="X466" i="2"/>
  <c r="X498" i="2"/>
  <c r="X530" i="2"/>
  <c r="X562" i="2"/>
  <c r="X586" i="2"/>
  <c r="X602" i="2"/>
  <c r="X618" i="2"/>
  <c r="X634" i="2"/>
  <c r="X650" i="2"/>
  <c r="X666" i="2"/>
  <c r="X682" i="2"/>
  <c r="X698" i="2"/>
  <c r="X714" i="2"/>
  <c r="X730" i="2"/>
  <c r="X746" i="2"/>
  <c r="X762" i="2"/>
  <c r="X778" i="2"/>
  <c r="X794" i="2"/>
  <c r="X114" i="2"/>
  <c r="X322" i="2"/>
  <c r="X395" i="2"/>
  <c r="X459" i="2"/>
  <c r="X491" i="2"/>
  <c r="X523" i="2"/>
  <c r="X555" i="2"/>
  <c r="X583" i="2"/>
  <c r="X599" i="2"/>
  <c r="X615" i="2"/>
  <c r="X631" i="2"/>
  <c r="X647" i="2"/>
  <c r="X663" i="2"/>
  <c r="X679" i="2"/>
  <c r="X695" i="2"/>
  <c r="X711" i="2"/>
  <c r="X727" i="2"/>
  <c r="X743" i="2"/>
  <c r="X759" i="2"/>
  <c r="X775" i="2"/>
  <c r="X791" i="2"/>
  <c r="X1001" i="2"/>
  <c r="X985" i="2"/>
  <c r="X969" i="2"/>
  <c r="X953" i="2"/>
  <c r="X937" i="2"/>
  <c r="X921" i="2"/>
  <c r="X905" i="2"/>
  <c r="X889" i="2"/>
  <c r="X873" i="2"/>
  <c r="X857" i="2"/>
  <c r="X841" i="2"/>
  <c r="X825" i="2"/>
  <c r="X807" i="2"/>
  <c r="X748" i="2"/>
  <c r="X684" i="2"/>
  <c r="X620" i="2"/>
  <c r="X534" i="2"/>
  <c r="X351" i="2"/>
  <c r="X992" i="2"/>
  <c r="X976" i="2"/>
  <c r="X960" i="2"/>
  <c r="X944" i="2"/>
  <c r="X928" i="2"/>
  <c r="X912" i="2"/>
  <c r="X896" i="2"/>
  <c r="X880" i="2"/>
  <c r="X864" i="2"/>
  <c r="X848" i="2"/>
  <c r="X832" i="2"/>
  <c r="X816" i="2"/>
  <c r="X776" i="2"/>
  <c r="X712" i="2"/>
  <c r="X648" i="2"/>
  <c r="X584" i="2"/>
  <c r="X462" i="2"/>
  <c r="X999" i="2"/>
  <c r="X983" i="2"/>
  <c r="X967" i="2"/>
  <c r="X951" i="2"/>
  <c r="X935" i="2"/>
  <c r="X919" i="2"/>
  <c r="X903" i="2"/>
  <c r="X887" i="2"/>
  <c r="X871" i="2"/>
  <c r="X855" i="2"/>
  <c r="X839" i="2"/>
  <c r="X823" i="2"/>
  <c r="X804" i="2"/>
  <c r="X740" i="2"/>
  <c r="X676" i="2"/>
  <c r="X612" i="2"/>
  <c r="X518" i="2"/>
  <c r="X298" i="2"/>
  <c r="X990" i="2"/>
  <c r="X974" i="2"/>
  <c r="X958" i="2"/>
  <c r="X942" i="2"/>
  <c r="X926" i="2"/>
  <c r="X910" i="2"/>
  <c r="X894" i="2"/>
  <c r="X878" i="2"/>
  <c r="X862" i="2"/>
  <c r="X846" i="2"/>
  <c r="X830" i="2"/>
  <c r="X814" i="2"/>
  <c r="X768" i="2"/>
  <c r="X704" i="2"/>
  <c r="X640" i="2"/>
  <c r="X574" i="2"/>
  <c r="X431" i="2"/>
  <c r="X750" i="2"/>
  <c r="X782" i="2"/>
  <c r="X178" i="2"/>
  <c r="X347" i="2"/>
  <c r="X467" i="2"/>
  <c r="X531" i="2"/>
  <c r="X563" i="2"/>
  <c r="X603" i="2"/>
  <c r="X619" i="2"/>
  <c r="X651" i="2"/>
  <c r="X667" i="2"/>
  <c r="X699" i="2"/>
  <c r="X715" i="2"/>
  <c r="X747" i="2"/>
  <c r="X779" i="2"/>
  <c r="X795" i="2"/>
  <c r="X981" i="2"/>
  <c r="X965" i="2"/>
  <c r="X933" i="2"/>
  <c r="X917" i="2"/>
  <c r="X885" i="2"/>
  <c r="X869" i="2"/>
  <c r="X837" i="2"/>
  <c r="X821" i="2"/>
  <c r="X796" i="2"/>
  <c r="X732" i="2"/>
  <c r="X604" i="2"/>
  <c r="X194" i="2"/>
  <c r="X988" i="2"/>
  <c r="X956" i="2"/>
  <c r="X940" i="2"/>
  <c r="X908" i="2"/>
  <c r="X892" i="2"/>
  <c r="X860" i="2"/>
  <c r="X844" i="2"/>
  <c r="X811" i="2"/>
  <c r="X696" i="2"/>
  <c r="X632" i="2"/>
  <c r="X399" i="2"/>
  <c r="X995" i="2"/>
  <c r="X963" i="2"/>
  <c r="X947" i="2"/>
  <c r="X915" i="2"/>
  <c r="X899" i="2"/>
  <c r="X867" i="2"/>
  <c r="X851" i="2"/>
  <c r="X819" i="2"/>
  <c r="X788" i="2"/>
  <c r="X486" i="2"/>
  <c r="X986" i="2"/>
  <c r="X922" i="2"/>
  <c r="X874" i="2"/>
  <c r="X826" i="2"/>
  <c r="X688" i="2"/>
  <c r="X367" i="2"/>
  <c r="X7" i="2"/>
  <c r="X23" i="2"/>
  <c r="X39" i="2"/>
  <c r="X55" i="2"/>
  <c r="X71" i="2"/>
  <c r="X87" i="2"/>
  <c r="X103" i="2"/>
  <c r="X119" i="2"/>
  <c r="X135" i="2"/>
  <c r="X151" i="2"/>
  <c r="X167" i="2"/>
  <c r="X183" i="2"/>
  <c r="X199" i="2"/>
  <c r="X215" i="2"/>
  <c r="X231" i="2"/>
  <c r="X247" i="2"/>
  <c r="X263" i="2"/>
  <c r="X279" i="2"/>
  <c r="X295" i="2"/>
  <c r="X311" i="2"/>
  <c r="X327" i="2"/>
  <c r="X4" i="2"/>
  <c r="X20" i="2"/>
  <c r="X36" i="2"/>
  <c r="X52" i="2"/>
  <c r="X68" i="2"/>
  <c r="X84" i="2"/>
  <c r="X100" i="2"/>
  <c r="X116" i="2"/>
  <c r="X132" i="2"/>
  <c r="X148" i="2"/>
  <c r="X164" i="2"/>
  <c r="X180" i="2"/>
  <c r="X196" i="2"/>
  <c r="X212" i="2"/>
  <c r="X228" i="2"/>
  <c r="X244" i="2"/>
  <c r="X260" i="2"/>
  <c r="X276" i="2"/>
  <c r="X292" i="2"/>
  <c r="X308" i="2"/>
  <c r="X324" i="2"/>
  <c r="X5" i="2"/>
  <c r="X21" i="2"/>
  <c r="X37" i="2"/>
  <c r="X53" i="2"/>
  <c r="X69" i="2"/>
  <c r="X85" i="2"/>
  <c r="X101" i="2"/>
  <c r="X117" i="2"/>
  <c r="X133" i="2"/>
  <c r="X149" i="2"/>
  <c r="X165" i="2"/>
  <c r="X181" i="2"/>
  <c r="X197" i="2"/>
  <c r="X213" i="2"/>
  <c r="X229" i="2"/>
  <c r="X245" i="2"/>
  <c r="X261" i="2"/>
  <c r="X6" i="2"/>
  <c r="X70" i="2"/>
  <c r="X134" i="2"/>
  <c r="X198" i="2"/>
  <c r="X262" i="2"/>
  <c r="X301" i="2"/>
  <c r="X333" i="2"/>
  <c r="X352" i="2"/>
  <c r="X368" i="2"/>
  <c r="X384" i="2"/>
  <c r="X400" i="2"/>
  <c r="X416" i="2"/>
  <c r="X432" i="2"/>
  <c r="X448" i="2"/>
  <c r="X464" i="2"/>
  <c r="X480" i="2"/>
  <c r="X496" i="2"/>
  <c r="X512" i="2"/>
  <c r="X528" i="2"/>
  <c r="X544" i="2"/>
  <c r="X560" i="2"/>
  <c r="X576" i="2"/>
  <c r="X58" i="2"/>
  <c r="X122" i="2"/>
  <c r="X186" i="2"/>
  <c r="X250" i="2"/>
  <c r="X294" i="2"/>
  <c r="X326" i="2"/>
  <c r="X349" i="2"/>
  <c r="X365" i="2"/>
  <c r="X381" i="2"/>
  <c r="X397" i="2"/>
  <c r="X413" i="2"/>
  <c r="X429" i="2"/>
  <c r="X445" i="2"/>
  <c r="X461" i="2"/>
  <c r="X477" i="2"/>
  <c r="X493" i="2"/>
  <c r="X509" i="2"/>
  <c r="X525" i="2"/>
  <c r="X541" i="2"/>
  <c r="X557" i="2"/>
  <c r="X573" i="2"/>
  <c r="X46" i="2"/>
  <c r="X110" i="2"/>
  <c r="X174" i="2"/>
  <c r="X238" i="2"/>
  <c r="X289" i="2"/>
  <c r="X321" i="2"/>
  <c r="X346" i="2"/>
  <c r="X362" i="2"/>
  <c r="X378" i="2"/>
  <c r="X394" i="2"/>
  <c r="X410" i="2"/>
  <c r="X426" i="2"/>
  <c r="X442" i="2"/>
  <c r="X458" i="2"/>
  <c r="X210" i="2"/>
  <c r="X355" i="2"/>
  <c r="X419" i="2"/>
  <c r="X471" i="2"/>
  <c r="X503" i="2"/>
  <c r="X535" i="2"/>
  <c r="X567" i="2"/>
  <c r="X589" i="2"/>
  <c r="X605" i="2"/>
  <c r="X621" i="2"/>
  <c r="X637" i="2"/>
  <c r="X653" i="2"/>
  <c r="X669" i="2"/>
  <c r="X685" i="2"/>
  <c r="X701" i="2"/>
  <c r="X717" i="2"/>
  <c r="X733" i="2"/>
  <c r="X749" i="2"/>
  <c r="X765" i="2"/>
  <c r="X781" i="2"/>
  <c r="X797" i="2"/>
  <c r="X813" i="2"/>
  <c r="X226" i="2"/>
  <c r="X359" i="2"/>
  <c r="X423" i="2"/>
  <c r="X474" i="2"/>
  <c r="X506" i="2"/>
  <c r="X538" i="2"/>
  <c r="X570" i="2"/>
  <c r="X590" i="2"/>
  <c r="X606" i="2"/>
  <c r="X622" i="2"/>
  <c r="X638" i="2"/>
  <c r="X654" i="2"/>
  <c r="X670" i="2"/>
  <c r="X686" i="2"/>
  <c r="X702" i="2"/>
  <c r="X718" i="2"/>
  <c r="X734" i="2"/>
  <c r="X766" i="2"/>
  <c r="X798" i="2"/>
  <c r="X411" i="2"/>
  <c r="X499" i="2"/>
  <c r="X587" i="2"/>
  <c r="X635" i="2"/>
  <c r="X683" i="2"/>
  <c r="X731" i="2"/>
  <c r="X763" i="2"/>
  <c r="X997" i="2"/>
  <c r="X949" i="2"/>
  <c r="X901" i="2"/>
  <c r="X853" i="2"/>
  <c r="X668" i="2"/>
  <c r="X502" i="2"/>
  <c r="X972" i="2"/>
  <c r="X924" i="2"/>
  <c r="X876" i="2"/>
  <c r="X828" i="2"/>
  <c r="X760" i="2"/>
  <c r="X558" i="2"/>
  <c r="X979" i="2"/>
  <c r="X931" i="2"/>
  <c r="X883" i="2"/>
  <c r="X835" i="2"/>
  <c r="X596" i="2"/>
  <c r="X938" i="2"/>
  <c r="X842" i="2"/>
  <c r="X542" i="2"/>
  <c r="X11" i="2"/>
  <c r="X27" i="2"/>
  <c r="X43" i="2"/>
  <c r="X59" i="2"/>
  <c r="X75" i="2"/>
  <c r="X91" i="2"/>
  <c r="X107" i="2"/>
  <c r="X123" i="2"/>
  <c r="X139" i="2"/>
  <c r="X155" i="2"/>
  <c r="X171" i="2"/>
  <c r="X187" i="2"/>
  <c r="X203" i="2"/>
  <c r="X219" i="2"/>
  <c r="X235" i="2"/>
  <c r="X251" i="2"/>
  <c r="X267" i="2"/>
  <c r="X283" i="2"/>
  <c r="X299" i="2"/>
  <c r="X315" i="2"/>
  <c r="X331" i="2"/>
  <c r="X8" i="2"/>
  <c r="X24" i="2"/>
  <c r="X40" i="2"/>
  <c r="X56" i="2"/>
  <c r="X72" i="2"/>
  <c r="X88" i="2"/>
  <c r="X104" i="2"/>
  <c r="X120" i="2"/>
  <c r="X136" i="2"/>
  <c r="X152" i="2"/>
  <c r="X168" i="2"/>
  <c r="X184" i="2"/>
  <c r="X200" i="2"/>
  <c r="X216" i="2"/>
  <c r="X232" i="2"/>
  <c r="X248" i="2"/>
  <c r="X264" i="2"/>
  <c r="X280" i="2"/>
  <c r="X296" i="2"/>
  <c r="X312" i="2"/>
  <c r="X328" i="2"/>
  <c r="X9" i="2"/>
  <c r="X25" i="2"/>
  <c r="X41" i="2"/>
  <c r="X57" i="2"/>
  <c r="X73" i="2"/>
  <c r="X89" i="2"/>
  <c r="X105" i="2"/>
  <c r="X121" i="2"/>
  <c r="X137" i="2"/>
  <c r="X153" i="2"/>
  <c r="X169" i="2"/>
  <c r="X185" i="2"/>
  <c r="X201" i="2"/>
  <c r="X217" i="2"/>
  <c r="X233" i="2"/>
  <c r="X249" i="2"/>
  <c r="X265" i="2"/>
  <c r="X22" i="2"/>
  <c r="X86" i="2"/>
  <c r="X150" i="2"/>
  <c r="X214" i="2"/>
  <c r="X277" i="2"/>
  <c r="X309" i="2"/>
  <c r="X340" i="2"/>
  <c r="X356" i="2"/>
  <c r="X372" i="2"/>
  <c r="X388" i="2"/>
  <c r="X404" i="2"/>
  <c r="X420" i="2"/>
  <c r="X436" i="2"/>
  <c r="X452" i="2"/>
  <c r="X468" i="2"/>
  <c r="X484" i="2"/>
  <c r="X500" i="2"/>
  <c r="X516" i="2"/>
  <c r="X532" i="2"/>
  <c r="X548" i="2"/>
  <c r="X564" i="2"/>
  <c r="X10" i="2"/>
  <c r="X74" i="2"/>
  <c r="X138" i="2"/>
  <c r="X202" i="2"/>
  <c r="X266" i="2"/>
  <c r="X302" i="2"/>
  <c r="X334" i="2"/>
  <c r="X353" i="2"/>
  <c r="X369" i="2"/>
  <c r="X385" i="2"/>
  <c r="X401" i="2"/>
  <c r="X417" i="2"/>
  <c r="X433" i="2"/>
  <c r="X449" i="2"/>
  <c r="X465" i="2"/>
  <c r="X481" i="2"/>
  <c r="X497" i="2"/>
  <c r="X513" i="2"/>
  <c r="X529" i="2"/>
  <c r="X545" i="2"/>
  <c r="X561" i="2"/>
  <c r="X577" i="2"/>
  <c r="X62" i="2"/>
  <c r="X126" i="2"/>
  <c r="X190" i="2"/>
  <c r="X254" i="2"/>
  <c r="X297" i="2"/>
  <c r="X329" i="2"/>
  <c r="X350" i="2"/>
  <c r="X366" i="2"/>
  <c r="X382" i="2"/>
  <c r="X398" i="2"/>
  <c r="X414" i="2"/>
  <c r="X430" i="2"/>
  <c r="X446" i="2"/>
  <c r="X18" i="2"/>
  <c r="X274" i="2"/>
  <c r="X371" i="2"/>
  <c r="X435" i="2"/>
  <c r="X479" i="2"/>
  <c r="X511" i="2"/>
  <c r="X543" i="2"/>
  <c r="X575" i="2"/>
  <c r="X593" i="2"/>
  <c r="X609" i="2"/>
  <c r="X625" i="2"/>
  <c r="X641" i="2"/>
  <c r="X657" i="2"/>
  <c r="X673" i="2"/>
  <c r="X689" i="2"/>
  <c r="X705" i="2"/>
  <c r="X721" i="2"/>
  <c r="X737" i="2"/>
  <c r="X753" i="2"/>
  <c r="X769" i="2"/>
  <c r="X785" i="2"/>
  <c r="X801" i="2"/>
  <c r="X34" i="2"/>
  <c r="X282" i="2"/>
  <c r="X375" i="2"/>
  <c r="X439" i="2"/>
  <c r="X482" i="2"/>
  <c r="X514" i="2"/>
  <c r="X546" i="2"/>
  <c r="X578" i="2"/>
  <c r="X594" i="2"/>
  <c r="X610" i="2"/>
  <c r="X626" i="2"/>
  <c r="X642" i="2"/>
  <c r="X658" i="2"/>
  <c r="X674" i="2"/>
  <c r="X690" i="2"/>
  <c r="X706" i="2"/>
  <c r="X722" i="2"/>
  <c r="X738" i="2"/>
  <c r="X754" i="2"/>
  <c r="X770" i="2"/>
  <c r="X786" i="2"/>
  <c r="X802" i="2"/>
  <c r="X242" i="2"/>
  <c r="X363" i="2"/>
  <c r="X427" i="2"/>
  <c r="X475" i="2"/>
  <c r="X507" i="2"/>
  <c r="X539" i="2"/>
  <c r="X571" i="2"/>
  <c r="X591" i="2"/>
  <c r="X607" i="2"/>
  <c r="X623" i="2"/>
  <c r="X639" i="2"/>
  <c r="X655" i="2"/>
  <c r="X671" i="2"/>
  <c r="X687" i="2"/>
  <c r="X703" i="2"/>
  <c r="X719" i="2"/>
  <c r="X735" i="2"/>
  <c r="X751" i="2"/>
  <c r="X767" i="2"/>
  <c r="X783" i="2"/>
  <c r="X799" i="2"/>
  <c r="X993" i="2"/>
  <c r="X977" i="2"/>
  <c r="X961" i="2"/>
  <c r="X945" i="2"/>
  <c r="X929" i="2"/>
  <c r="X913" i="2"/>
  <c r="X897" i="2"/>
  <c r="X881" i="2"/>
  <c r="X865" i="2"/>
  <c r="X849" i="2"/>
  <c r="X833" i="2"/>
  <c r="X817" i="2"/>
  <c r="X780" i="2"/>
  <c r="X716" i="2"/>
  <c r="X652" i="2"/>
  <c r="X588" i="2"/>
  <c r="X470" i="2"/>
  <c r="X1000" i="2"/>
  <c r="X984" i="2"/>
  <c r="X968" i="2"/>
  <c r="X952" i="2"/>
  <c r="X936" i="2"/>
  <c r="X920" i="2"/>
  <c r="X904" i="2"/>
  <c r="X888" i="2"/>
  <c r="X872" i="2"/>
  <c r="X856" i="2"/>
  <c r="X840" i="2"/>
  <c r="X824" i="2"/>
  <c r="X806" i="2"/>
  <c r="X744" i="2"/>
  <c r="X680" i="2"/>
  <c r="X616" i="2"/>
  <c r="X526" i="2"/>
  <c r="X330" i="2"/>
  <c r="X991" i="2"/>
  <c r="X975" i="2"/>
  <c r="X959" i="2"/>
  <c r="X943" i="2"/>
  <c r="X927" i="2"/>
  <c r="X911" i="2"/>
  <c r="X895" i="2"/>
  <c r="X879" i="2"/>
  <c r="X863" i="2"/>
  <c r="X847" i="2"/>
  <c r="X831" i="2"/>
  <c r="X815" i="2"/>
  <c r="X772" i="2"/>
  <c r="X708" i="2"/>
  <c r="X644" i="2"/>
  <c r="X580" i="2"/>
  <c r="X447" i="2"/>
  <c r="X998" i="2"/>
  <c r="X982" i="2"/>
  <c r="X966" i="2"/>
  <c r="X950" i="2"/>
  <c r="X934" i="2"/>
  <c r="X918" i="2"/>
  <c r="X902" i="2"/>
  <c r="X886" i="2"/>
  <c r="X870" i="2"/>
  <c r="X854" i="2"/>
  <c r="X838" i="2"/>
  <c r="X822" i="2"/>
  <c r="X800" i="2"/>
  <c r="X736" i="2"/>
  <c r="X672" i="2"/>
  <c r="X608" i="2"/>
  <c r="X510" i="2"/>
  <c r="X258" i="2"/>
  <c r="X771" i="2"/>
  <c r="X989" i="2"/>
  <c r="X957" i="2"/>
  <c r="X925" i="2"/>
  <c r="X893" i="2"/>
  <c r="X861" i="2"/>
  <c r="X829" i="2"/>
  <c r="X764" i="2"/>
  <c r="X636" i="2"/>
  <c r="X415" i="2"/>
  <c r="X980" i="2"/>
  <c r="X948" i="2"/>
  <c r="X916" i="2"/>
  <c r="X884" i="2"/>
  <c r="X852" i="2"/>
  <c r="X820" i="2"/>
  <c r="X728" i="2"/>
  <c r="X600" i="2"/>
  <c r="X130" i="2"/>
  <c r="X971" i="2"/>
  <c r="X939" i="2"/>
  <c r="X923" i="2"/>
  <c r="X891" i="2"/>
  <c r="X859" i="2"/>
  <c r="X827" i="2"/>
  <c r="X756" i="2"/>
  <c r="X628" i="2"/>
  <c r="X383" i="2"/>
  <c r="X978" i="2"/>
  <c r="X946" i="2"/>
  <c r="X914" i="2"/>
  <c r="X882" i="2"/>
  <c r="X850" i="2"/>
  <c r="X818" i="2"/>
  <c r="X720" i="2"/>
  <c r="X592" i="2"/>
  <c r="X2" i="2"/>
  <c r="X660" i="2"/>
  <c r="X66" i="2"/>
  <c r="X954" i="2"/>
  <c r="X906" i="2"/>
  <c r="X858" i="2"/>
  <c r="X808" i="2"/>
  <c r="X624" i="2"/>
  <c r="X15" i="2"/>
  <c r="X31" i="2"/>
  <c r="X47" i="2"/>
  <c r="X63" i="2"/>
  <c r="X79" i="2"/>
  <c r="X95" i="2"/>
  <c r="X111" i="2"/>
  <c r="X127" i="2"/>
  <c r="X143" i="2"/>
  <c r="X159" i="2"/>
  <c r="X175" i="2"/>
  <c r="X191" i="2"/>
  <c r="X207" i="2"/>
  <c r="X223" i="2"/>
  <c r="X239" i="2"/>
  <c r="X255" i="2"/>
  <c r="X271" i="2"/>
  <c r="X287" i="2"/>
  <c r="X303" i="2"/>
  <c r="X319" i="2"/>
  <c r="X335" i="2"/>
  <c r="X12" i="2"/>
  <c r="X28" i="2"/>
  <c r="X44" i="2"/>
  <c r="X60" i="2"/>
  <c r="X76" i="2"/>
  <c r="X92" i="2"/>
  <c r="X108" i="2"/>
  <c r="X124" i="2"/>
  <c r="X140" i="2"/>
  <c r="X156" i="2"/>
  <c r="X172" i="2"/>
  <c r="X188" i="2"/>
  <c r="X204" i="2"/>
  <c r="X220" i="2"/>
  <c r="X236" i="2"/>
  <c r="X252" i="2"/>
  <c r="X268" i="2"/>
  <c r="X284" i="2"/>
  <c r="X300" i="2"/>
  <c r="X316" i="2"/>
  <c r="X332" i="2"/>
  <c r="X13" i="2"/>
  <c r="X29" i="2"/>
  <c r="X45" i="2"/>
  <c r="X61" i="2"/>
  <c r="X77" i="2"/>
  <c r="X93" i="2"/>
  <c r="X109" i="2"/>
  <c r="X125" i="2"/>
  <c r="X141" i="2"/>
  <c r="X157" i="2"/>
  <c r="X173" i="2"/>
  <c r="X189" i="2"/>
  <c r="X205" i="2"/>
  <c r="X221" i="2"/>
  <c r="X237" i="2"/>
  <c r="X253" i="2"/>
  <c r="X269" i="2"/>
  <c r="X38" i="2"/>
  <c r="X102" i="2"/>
  <c r="X166" i="2"/>
  <c r="X230" i="2"/>
  <c r="X285" i="2"/>
  <c r="X317" i="2"/>
  <c r="X344" i="2"/>
  <c r="X360" i="2"/>
  <c r="X376" i="2"/>
  <c r="X392" i="2"/>
  <c r="X408" i="2"/>
  <c r="X424" i="2"/>
  <c r="X440" i="2"/>
  <c r="X456" i="2"/>
  <c r="X472" i="2"/>
  <c r="X488" i="2"/>
  <c r="X504" i="2"/>
  <c r="X520" i="2"/>
  <c r="X536" i="2"/>
  <c r="X552" i="2"/>
  <c r="X568" i="2"/>
  <c r="X26" i="2"/>
  <c r="X90" i="2"/>
  <c r="X154" i="2"/>
  <c r="X218" i="2"/>
  <c r="X278" i="2"/>
  <c r="X310" i="2"/>
  <c r="X341" i="2"/>
  <c r="X357" i="2"/>
  <c r="X373" i="2"/>
  <c r="X389" i="2"/>
  <c r="X405" i="2"/>
  <c r="X421" i="2"/>
  <c r="X437" i="2"/>
  <c r="X453" i="2"/>
  <c r="X469" i="2"/>
  <c r="X485" i="2"/>
  <c r="X501" i="2"/>
  <c r="X517" i="2"/>
  <c r="X533" i="2"/>
  <c r="X549" i="2"/>
  <c r="X565" i="2"/>
  <c r="X14" i="2"/>
  <c r="X78" i="2"/>
  <c r="X142" i="2"/>
  <c r="X206" i="2"/>
  <c r="X270" i="2"/>
  <c r="X305" i="2"/>
  <c r="X337" i="2"/>
  <c r="X354" i="2"/>
  <c r="X370" i="2"/>
  <c r="X386" i="2"/>
  <c r="X402" i="2"/>
  <c r="X418" i="2"/>
  <c r="X434" i="2"/>
  <c r="X450" i="2"/>
  <c r="X82" i="2"/>
  <c r="X306" i="2"/>
  <c r="X387" i="2"/>
  <c r="X451" i="2"/>
  <c r="X487" i="2"/>
  <c r="X519" i="2"/>
  <c r="X551" i="2"/>
  <c r="X581" i="2"/>
  <c r="X597" i="2"/>
  <c r="X613" i="2"/>
  <c r="X629" i="2"/>
  <c r="X645" i="2"/>
  <c r="X661" i="2"/>
  <c r="X677" i="2"/>
  <c r="X693" i="2"/>
  <c r="X709" i="2"/>
  <c r="X725" i="2"/>
  <c r="X741" i="2"/>
  <c r="X757" i="2"/>
  <c r="X773" i="2"/>
  <c r="X789" i="2"/>
  <c r="X805" i="2"/>
  <c r="X98" i="2"/>
  <c r="X314" i="2"/>
  <c r="X391" i="2"/>
  <c r="X455" i="2"/>
  <c r="X490" i="2"/>
  <c r="X522" i="2"/>
  <c r="X554" i="2"/>
  <c r="X582" i="2"/>
  <c r="X598" i="2"/>
  <c r="X614" i="2"/>
  <c r="X630" i="2"/>
  <c r="X646" i="2"/>
  <c r="X662" i="2"/>
  <c r="X678" i="2"/>
  <c r="X694" i="2"/>
  <c r="X710" i="2"/>
  <c r="X726" i="2"/>
  <c r="X742" i="2"/>
  <c r="X758" i="2"/>
  <c r="X774" i="2"/>
  <c r="X790" i="2"/>
  <c r="X50" i="2"/>
  <c r="X290" i="2"/>
  <c r="X379" i="2"/>
  <c r="X443" i="2"/>
  <c r="X483" i="2"/>
  <c r="X515" i="2"/>
  <c r="X547" i="2"/>
  <c r="X579" i="2"/>
  <c r="X595" i="2"/>
  <c r="X611" i="2"/>
  <c r="X627" i="2"/>
  <c r="X643" i="2"/>
  <c r="X659" i="2"/>
  <c r="X675" i="2"/>
  <c r="X691" i="2"/>
  <c r="X707" i="2"/>
  <c r="X723" i="2"/>
  <c r="X739" i="2"/>
  <c r="X755" i="2"/>
  <c r="X787" i="2"/>
  <c r="X803" i="2"/>
  <c r="X973" i="2"/>
  <c r="X941" i="2"/>
  <c r="X909" i="2"/>
  <c r="X877" i="2"/>
  <c r="X845" i="2"/>
  <c r="X812" i="2"/>
  <c r="X700" i="2"/>
  <c r="X566" i="2"/>
  <c r="X996" i="2"/>
  <c r="X964" i="2"/>
  <c r="X932" i="2"/>
  <c r="X900" i="2"/>
  <c r="X868" i="2"/>
  <c r="X836" i="2"/>
  <c r="X792" i="2"/>
  <c r="X664" i="2"/>
  <c r="X494" i="2"/>
  <c r="X987" i="2"/>
  <c r="X955" i="2"/>
  <c r="X907" i="2"/>
  <c r="X875" i="2"/>
  <c r="X843" i="2"/>
  <c r="X810" i="2"/>
  <c r="X692" i="2"/>
  <c r="X550" i="2"/>
  <c r="X994" i="2"/>
  <c r="X962" i="2"/>
  <c r="X930" i="2"/>
  <c r="X898" i="2"/>
  <c r="X866" i="2"/>
  <c r="X834" i="2"/>
  <c r="X784" i="2"/>
  <c r="X656" i="2"/>
  <c r="X478" i="2"/>
  <c r="X724" i="2"/>
  <c r="X970" i="2"/>
  <c r="X890" i="2"/>
  <c r="X752" i="2"/>
  <c r="B14" i="1"/>
  <c r="P17" i="1" l="1"/>
  <c r="P18" i="1"/>
  <c r="H14" i="1"/>
  <c r="F14" i="1"/>
  <c r="P26" i="1"/>
  <c r="P22" i="1"/>
  <c r="P25" i="1"/>
  <c r="P21" i="1"/>
  <c r="P24" i="1"/>
  <c r="P20" i="1"/>
  <c r="P23" i="1"/>
  <c r="P19" i="1"/>
  <c r="C38" i="1"/>
  <c r="Z16" i="2"/>
  <c r="AA16" i="2"/>
  <c r="AB16" i="2"/>
  <c r="AC16" i="2"/>
  <c r="AD16" i="2" l="1"/>
  <c r="AM16" i="2" s="1"/>
  <c r="AF16" i="2"/>
  <c r="AE16" i="2"/>
  <c r="AL16" i="2" l="1"/>
  <c r="AO16" i="2"/>
  <c r="AN16" i="2"/>
  <c r="C40" i="1"/>
  <c r="E26" i="1" l="1"/>
  <c r="AC28" i="2" l="1"/>
  <c r="AC27" i="2"/>
  <c r="AC26" i="2"/>
  <c r="AB28" i="2"/>
  <c r="AB27" i="2"/>
  <c r="AB26" i="2"/>
  <c r="AA28" i="2"/>
  <c r="AA27" i="2"/>
  <c r="AA26" i="2"/>
  <c r="D29" i="1" l="1"/>
  <c r="D30" i="1"/>
  <c r="D31" i="1"/>
  <c r="D32" i="1"/>
  <c r="D33" i="1"/>
  <c r="C41" i="1" l="1"/>
  <c r="D36" i="1"/>
  <c r="D37" i="1"/>
  <c r="D38" i="1"/>
  <c r="D39" i="1"/>
  <c r="D40" i="1"/>
  <c r="D41" i="1"/>
  <c r="D42" i="1"/>
  <c r="D43" i="1"/>
  <c r="Z20" i="2" l="1"/>
  <c r="AA20" i="2"/>
  <c r="AB20" i="2"/>
  <c r="AC20" i="2"/>
  <c r="Z21" i="2"/>
  <c r="AA21" i="2"/>
  <c r="AB21" i="2"/>
  <c r="AC21" i="2"/>
  <c r="Z22" i="2"/>
  <c r="AA22" i="2"/>
  <c r="AB22" i="2"/>
  <c r="AC22" i="2"/>
  <c r="Z23" i="2"/>
  <c r="AA23" i="2"/>
  <c r="AB23" i="2"/>
  <c r="AC23" i="2"/>
  <c r="AC19" i="2"/>
  <c r="AA19" i="2"/>
  <c r="AB19" i="2"/>
  <c r="Z19" i="2"/>
  <c r="Z3" i="2"/>
  <c r="AA3" i="2"/>
  <c r="AB3" i="2"/>
  <c r="Z4" i="2"/>
  <c r="AA4" i="2"/>
  <c r="AB4" i="2"/>
  <c r="Z5" i="2"/>
  <c r="AA5" i="2"/>
  <c r="AB5" i="2"/>
  <c r="Z6" i="2"/>
  <c r="AA6" i="2"/>
  <c r="AB6" i="2"/>
  <c r="Z7" i="2"/>
  <c r="AA7" i="2"/>
  <c r="AB7" i="2"/>
  <c r="Z8" i="2"/>
  <c r="AA8" i="2"/>
  <c r="AB8" i="2"/>
  <c r="Z9" i="2"/>
  <c r="AA9" i="2"/>
  <c r="AB9" i="2"/>
  <c r="Z10" i="2"/>
  <c r="AA10" i="2"/>
  <c r="AB10" i="2"/>
  <c r="Z11" i="2"/>
  <c r="AA11" i="2"/>
  <c r="AB11" i="2"/>
  <c r="Z12" i="2"/>
  <c r="AA12" i="2"/>
  <c r="AB12" i="2"/>
  <c r="Z13" i="2"/>
  <c r="AA13" i="2"/>
  <c r="AB13" i="2"/>
  <c r="Z14" i="2"/>
  <c r="AA14" i="2"/>
  <c r="AB14" i="2"/>
  <c r="Z15" i="2"/>
  <c r="AA15" i="2"/>
  <c r="AB15" i="2"/>
  <c r="AA2" i="2"/>
  <c r="AB2" i="2"/>
  <c r="Z2" i="2"/>
  <c r="AD22" i="2" l="1"/>
  <c r="AD20" i="2"/>
  <c r="AD23" i="2"/>
  <c r="AD21" i="2"/>
  <c r="AD19" i="2"/>
  <c r="E29" i="1" l="1"/>
  <c r="E30" i="1"/>
  <c r="E31" i="1"/>
  <c r="E32" i="1"/>
  <c r="E33" i="1"/>
  <c r="C36" i="1"/>
  <c r="E41" i="1" l="1"/>
  <c r="E36" i="1"/>
  <c r="E40" i="1"/>
  <c r="G14" i="1" l="1"/>
  <c r="G48" i="1" s="1"/>
  <c r="D14" i="1" l="1"/>
  <c r="E14" i="1" s="1"/>
  <c r="G46" i="1"/>
  <c r="AC6" i="2"/>
  <c r="AC4" i="2"/>
  <c r="AC10" i="2"/>
  <c r="AC12" i="2"/>
  <c r="AC5" i="2"/>
  <c r="AC11" i="2"/>
  <c r="E17" i="1"/>
  <c r="N17" i="1" s="1"/>
  <c r="E22" i="1"/>
  <c r="E23" i="1"/>
  <c r="AC7" i="2"/>
  <c r="AC8" i="2"/>
  <c r="E19" i="1"/>
  <c r="N19" i="1" s="1"/>
  <c r="AC9" i="2"/>
  <c r="AC13" i="2"/>
  <c r="E21" i="1"/>
  <c r="E20" i="1"/>
  <c r="N20" i="1" s="1"/>
  <c r="AC2" i="2"/>
  <c r="AD4" i="2" l="1"/>
  <c r="AM4" i="2" s="1"/>
  <c r="AD5" i="2"/>
  <c r="AL5" i="2" s="1"/>
  <c r="AD2" i="2"/>
  <c r="AL2" i="2" s="1"/>
  <c r="AD12" i="2"/>
  <c r="AM12" i="2" s="1"/>
  <c r="AD13" i="2"/>
  <c r="AL13" i="2" s="1"/>
  <c r="AD7" i="2"/>
  <c r="AO7" i="2" s="1"/>
  <c r="AD11" i="2"/>
  <c r="AO11" i="2" s="1"/>
  <c r="AD9" i="2"/>
  <c r="AL9" i="2" s="1"/>
  <c r="AD6" i="2"/>
  <c r="AO6" i="2" s="1"/>
  <c r="AD8" i="2"/>
  <c r="AM8" i="2" s="1"/>
  <c r="AD10" i="2"/>
  <c r="AL10" i="2" s="1"/>
  <c r="AF9" i="2"/>
  <c r="AE9" i="2"/>
  <c r="AF11" i="2"/>
  <c r="AE11" i="2"/>
  <c r="AF5" i="2"/>
  <c r="AE5" i="2"/>
  <c r="AE6" i="2"/>
  <c r="AF6" i="2"/>
  <c r="AE2" i="2"/>
  <c r="AF2" i="2"/>
  <c r="AF8" i="2"/>
  <c r="AE8" i="2"/>
  <c r="AF10" i="2"/>
  <c r="AE10" i="2"/>
  <c r="AF12" i="2"/>
  <c r="AE12" i="2"/>
  <c r="AE13" i="2"/>
  <c r="AF13" i="2"/>
  <c r="AF7" i="2"/>
  <c r="AE7" i="2"/>
  <c r="AF4" i="2"/>
  <c r="AE4" i="2"/>
  <c r="E24" i="1"/>
  <c r="AC14" i="2"/>
  <c r="E18" i="1"/>
  <c r="N18" i="1" s="1"/>
  <c r="AC15" i="2"/>
  <c r="E25" i="1"/>
  <c r="AC3" i="2"/>
  <c r="AN9" i="2" l="1"/>
  <c r="AO5" i="2"/>
  <c r="AO8" i="2"/>
  <c r="AL8" i="2"/>
  <c r="AN6" i="2"/>
  <c r="AN10" i="2"/>
  <c r="AN8" i="2"/>
  <c r="AM6" i="2"/>
  <c r="AL4" i="2"/>
  <c r="AL6" i="2"/>
  <c r="AM5" i="2"/>
  <c r="AO9" i="2"/>
  <c r="AM7" i="2"/>
  <c r="AN2" i="2"/>
  <c r="AN5" i="2"/>
  <c r="AO4" i="2"/>
  <c r="AN7" i="2"/>
  <c r="AM13" i="2"/>
  <c r="AL7" i="2"/>
  <c r="AO13" i="2"/>
  <c r="AL12" i="2"/>
  <c r="AN4" i="2"/>
  <c r="AM11" i="2"/>
  <c r="AN13" i="2"/>
  <c r="AN12" i="2"/>
  <c r="AO10" i="2"/>
  <c r="AN11" i="2"/>
  <c r="AO2" i="2"/>
  <c r="AD15" i="2"/>
  <c r="AN15" i="2" s="1"/>
  <c r="AD3" i="2"/>
  <c r="AN3" i="2" s="1"/>
  <c r="AD14" i="2"/>
  <c r="AM14" i="2" s="1"/>
  <c r="AM10" i="2"/>
  <c r="AM9" i="2"/>
  <c r="AL11" i="2"/>
  <c r="AO12" i="2"/>
  <c r="AM2" i="2"/>
  <c r="AF15" i="2"/>
  <c r="AE15" i="2"/>
  <c r="AF3" i="2"/>
  <c r="AE3" i="2"/>
  <c r="AF14" i="2"/>
  <c r="AE14" i="2"/>
  <c r="E38" i="1"/>
  <c r="G47" i="1"/>
  <c r="AL3" i="2" l="1"/>
  <c r="AN14" i="2"/>
  <c r="AL14" i="2"/>
  <c r="AO14" i="2"/>
  <c r="AM3" i="2"/>
  <c r="AO3" i="2"/>
  <c r="AL15" i="2"/>
  <c r="AM15" i="2"/>
  <c r="AO15" i="2"/>
  <c r="T40" i="2" a="1"/>
  <c r="T40" i="2" s="1"/>
  <c r="C42" i="1"/>
  <c r="C39" i="1"/>
  <c r="AG29" i="2" l="1"/>
  <c r="AG28" i="2"/>
  <c r="AG25" i="2"/>
  <c r="E42" i="1"/>
  <c r="C37" i="1"/>
  <c r="C43" i="1"/>
  <c r="E39" i="1"/>
  <c r="AG27" i="2" l="1"/>
  <c r="AG26" i="2"/>
  <c r="E43" i="1"/>
  <c r="E37" i="1"/>
  <c r="C48" i="1" l="1"/>
  <c r="E48" i="1"/>
  <c r="G45" i="1"/>
  <c r="K2" i="1"/>
  <c r="A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30" name="Abfrage von Excel Files" type="1" refreshedVersion="7" background="1" refreshOnLoad="1">
    <dbPr connection="DSN=Excel Files;DBQ=H:\Dokumente TeamAdmin\BerechnungsTools\Datenbank\DB.xlsx;DefaultDir=H:\Dokumente TeamAdmin\BerechnungsTools\Datenbank;DriverId=1046;MaxBufferSize=2048;PageTimeout=5;" command="SELECT `shtBaseTable$`.ID, `shtBaseTable$`.Material, `shtBaseTable$`.Oberfläche, `shtBaseTable$`.EK, `shtBaseTable$`.Seite, `shtBaseTable$`.Kontext, `shtBaseTable$`.Typ, `shtBaseTable$`.Kurzbeschreibung, `shtBaseTable$`.`Durchmesser Rohr`, `shtBaseTable$`.Stärke, `shtBaseTable$`.Schweißen, `shtBaseTable$`.Bohren, `shtBaseTable$`.Montage, `shtBaseTable$`.Gewicht, `shtBaseTable$`.SKP, `shtBaseTable$`.`VK-DE`, `shtBaseTable$`.`VK-IT`_x000d__x000a_FROM `H:\Dokumente TeamAdmin\BerechnungsTools\Datenbank\DB.xlsx`.`shtBaseTable$` `shtBaseTable$`_x000d__x000a_WHERE (`shtBaseTable$`.Kontext Like '%Steher%')_x000d__x000a_ORDER BY `shtBaseTable$`.ID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<sst xmlns="http://schemas.openxmlformats.org/spreadsheetml/2006/main" count="868" uniqueCount="440">
  <si>
    <t>Material</t>
  </si>
  <si>
    <t>Oberfläche</t>
  </si>
  <si>
    <t>Zeichnen</t>
  </si>
  <si>
    <t>Schweißen</t>
  </si>
  <si>
    <t>Polieren</t>
  </si>
  <si>
    <t>Montage</t>
  </si>
  <si>
    <t>Preise</t>
  </si>
  <si>
    <t>poliert</t>
  </si>
  <si>
    <t>Artikel</t>
  </si>
  <si>
    <t>SKP</t>
  </si>
  <si>
    <t>Rohr</t>
  </si>
  <si>
    <t>Befestigung</t>
  </si>
  <si>
    <t>Artikeltyp</t>
  </si>
  <si>
    <t>ØSteher</t>
  </si>
  <si>
    <t>AISI304</t>
  </si>
  <si>
    <t>AISI316</t>
  </si>
  <si>
    <t>240er</t>
  </si>
  <si>
    <t>33,7x2,0</t>
  </si>
  <si>
    <t>42,4x2,0</t>
  </si>
  <si>
    <t>48,3x2,0</t>
  </si>
  <si>
    <t>12x12x2,0</t>
  </si>
  <si>
    <t>20x20x2,0</t>
  </si>
  <si>
    <t>25x25x2,0</t>
  </si>
  <si>
    <t>30x30x2,0</t>
  </si>
  <si>
    <t>40x40x2,0</t>
  </si>
  <si>
    <t>50x50x2,0</t>
  </si>
  <si>
    <t>60x60x2,0</t>
  </si>
  <si>
    <t>30x20x2,0</t>
  </si>
  <si>
    <t>40x20x2,0</t>
  </si>
  <si>
    <t>40x30x2,0</t>
  </si>
  <si>
    <t>50x30x2,0</t>
  </si>
  <si>
    <t>60x40x2,0</t>
  </si>
  <si>
    <t>33,7x2,6</t>
  </si>
  <si>
    <t>42,4x2,6</t>
  </si>
  <si>
    <t>48,3x2,6</t>
  </si>
  <si>
    <t>Füllung</t>
  </si>
  <si>
    <t>Menge</t>
  </si>
  <si>
    <t>Sum SKP</t>
  </si>
  <si>
    <t>Gew.</t>
  </si>
  <si>
    <t>Sum Gew.</t>
  </si>
  <si>
    <t>Zuschneiden</t>
  </si>
  <si>
    <t>Rst. Bohren</t>
  </si>
  <si>
    <t>Rst. Schweißen</t>
  </si>
  <si>
    <t>DEU</t>
  </si>
  <si>
    <t>Sprache</t>
  </si>
  <si>
    <t>ITA</t>
  </si>
  <si>
    <t>Liste</t>
  </si>
  <si>
    <t>x</t>
  </si>
  <si>
    <t/>
  </si>
  <si>
    <t>Zeiten</t>
  </si>
  <si>
    <t>Arbeit</t>
  </si>
  <si>
    <t>Totale VKP:</t>
  </si>
  <si>
    <t>Totale SKP:</t>
  </si>
  <si>
    <t>-</t>
  </si>
  <si>
    <t>Bohrungen</t>
  </si>
  <si>
    <t>Aufschlag EK</t>
  </si>
  <si>
    <t>Eingabe</t>
  </si>
  <si>
    <t>ENG</t>
  </si>
  <si>
    <t>lucidato</t>
  </si>
  <si>
    <t>polished</t>
  </si>
  <si>
    <t>Text Eng</t>
  </si>
  <si>
    <t>Text Ita</t>
  </si>
  <si>
    <t>Text Deu</t>
  </si>
  <si>
    <t>% Rohmat.:</t>
  </si>
  <si>
    <t>% Teile:</t>
  </si>
  <si>
    <t>Bohr./Schleif.</t>
  </si>
  <si>
    <t>WPS</t>
  </si>
  <si>
    <t>WPS: I-R-001</t>
  </si>
  <si>
    <t>WPS: I-R-003</t>
  </si>
  <si>
    <t>WPS: I-R-005</t>
  </si>
  <si>
    <t>WPS: I-Q-001</t>
  </si>
  <si>
    <t>WPS: I-R-002</t>
  </si>
  <si>
    <t>WPS: I-R-004</t>
  </si>
  <si>
    <t>WPS: I-R-006</t>
  </si>
  <si>
    <t>Østeher</t>
  </si>
  <si>
    <t>WPS: I-R-007</t>
  </si>
  <si>
    <t>WPS: I-R-009</t>
  </si>
  <si>
    <t>WPS: I-R-011</t>
  </si>
  <si>
    <t>WPS: I-Q-002</t>
  </si>
  <si>
    <t>WPS: I-R-008</t>
  </si>
  <si>
    <t>WPS: I-R-010</t>
  </si>
  <si>
    <t>WPS: I-R-012</t>
  </si>
  <si>
    <t>Ergebnis</t>
  </si>
  <si>
    <t xml:space="preserve">saldatura sec. </t>
  </si>
  <si>
    <t xml:space="preserve">Schweißung nach </t>
  </si>
  <si>
    <t xml:space="preserve">welding according </t>
  </si>
  <si>
    <t>Text</t>
  </si>
  <si>
    <t>art.</t>
  </si>
  <si>
    <t>n</t>
  </si>
  <si>
    <t>TOTALE</t>
  </si>
  <si>
    <t>Kundenart</t>
  </si>
  <si>
    <t>rivenditore</t>
  </si>
  <si>
    <t>fabbro</t>
  </si>
  <si>
    <t>reseller</t>
  </si>
  <si>
    <t>Schmied</t>
  </si>
  <si>
    <t>smith</t>
  </si>
  <si>
    <t>sat. gr. 240</t>
  </si>
  <si>
    <t>brushed 240</t>
  </si>
  <si>
    <t>UserName</t>
  </si>
  <si>
    <t>UserType</t>
  </si>
  <si>
    <t>InterfaceLang</t>
  </si>
  <si>
    <t>ClientCountry</t>
  </si>
  <si>
    <t>Lukas Bacher</t>
  </si>
  <si>
    <t>UserID</t>
  </si>
  <si>
    <t>Georg Feichter</t>
  </si>
  <si>
    <t>TEC</t>
  </si>
  <si>
    <t>ADM</t>
  </si>
  <si>
    <t>Lukas Regensberger</t>
  </si>
  <si>
    <t>Ingrid Gasser</t>
  </si>
  <si>
    <t>VKI</t>
  </si>
  <si>
    <t>Alex Pranter</t>
  </si>
  <si>
    <t>Corrado Coppolecchia</t>
  </si>
  <si>
    <t>OutputLang</t>
  </si>
  <si>
    <t>Filter</t>
  </si>
  <si>
    <t>Händler</t>
  </si>
  <si>
    <t>WolfPWTech</t>
  </si>
  <si>
    <t>TechPW</t>
  </si>
  <si>
    <t>W0!f5grub3r6mbH</t>
  </si>
  <si>
    <t>Christian Erlacher</t>
  </si>
  <si>
    <t>Christopf Unterpertinger</t>
  </si>
  <si>
    <t>Stefan Ferrari</t>
  </si>
  <si>
    <t>FRA</t>
  </si>
  <si>
    <t>DEU/AUT</t>
  </si>
  <si>
    <t>ITA/INT</t>
  </si>
  <si>
    <t>Text Fra</t>
  </si>
  <si>
    <t>KundenNat</t>
  </si>
  <si>
    <t>poli miroir</t>
  </si>
  <si>
    <t xml:space="preserve">soudage selon </t>
  </si>
  <si>
    <t>acier inox AISI 304-1.4301</t>
  </si>
  <si>
    <t>acier inox AISI 316-1.4401</t>
  </si>
  <si>
    <t>marchand</t>
  </si>
  <si>
    <t>forgeron</t>
  </si>
  <si>
    <t>SÜDT</t>
  </si>
  <si>
    <t>Herbert Lamp</t>
  </si>
  <si>
    <t>KundenSkont</t>
  </si>
  <si>
    <t>Marc Meyer</t>
  </si>
  <si>
    <t>nicht nachpoliert</t>
  </si>
  <si>
    <t>nicht nachgeschliffen</t>
  </si>
  <si>
    <t>brossé GR240</t>
  </si>
  <si>
    <t>non risatinato</t>
  </si>
  <si>
    <t>not rebrushed</t>
  </si>
  <si>
    <t>non ripulito</t>
  </si>
  <si>
    <t>not repolished</t>
  </si>
  <si>
    <t>Bohren</t>
  </si>
  <si>
    <t>Stopfen</t>
  </si>
  <si>
    <t>Kugelring</t>
  </si>
  <si>
    <t>Rohrsattel</t>
  </si>
  <si>
    <t>Verbindungselement</t>
  </si>
  <si>
    <t>Blechhalter</t>
  </si>
  <si>
    <t>Halter für Blechrahmen</t>
  </si>
  <si>
    <t>Abstandhalter</t>
  </si>
  <si>
    <t>Abstandhalter für Punkthalter</t>
  </si>
  <si>
    <t>Bodenbefestigung</t>
  </si>
  <si>
    <t>Schraube</t>
  </si>
  <si>
    <t>Abdeckrosette</t>
  </si>
  <si>
    <t>Ankerplatte mit 2 Langlöchern</t>
  </si>
  <si>
    <t>Ankerplatte mit 4 Langlöchern</t>
  </si>
  <si>
    <t>Ankerplatte</t>
  </si>
  <si>
    <t>Wandbefestigung</t>
  </si>
  <si>
    <t>Handlaufhalter</t>
  </si>
  <si>
    <t>Handlaufträger</t>
  </si>
  <si>
    <t>Abdeckung</t>
  </si>
  <si>
    <t>Querstabhalter</t>
  </si>
  <si>
    <t>Gewindestange</t>
  </si>
  <si>
    <t>Auflageplatte</t>
  </si>
  <si>
    <t>Abdeckung quadratisch</t>
  </si>
  <si>
    <t>Schale</t>
  </si>
  <si>
    <t>Ronde</t>
  </si>
  <si>
    <t>Ankerplatte mit 3 Langlöchern</t>
  </si>
  <si>
    <t>Ankerplatte mit 3 Löchern</t>
  </si>
  <si>
    <t>Ankerplatte quadratisch mit 2 Langlöchern</t>
  </si>
  <si>
    <t>Ankerplatte quadratisch mit 4 Langlöchern</t>
  </si>
  <si>
    <t>Halbkugel</t>
  </si>
  <si>
    <t>Ankerplatte mit 1 Bohrung</t>
  </si>
  <si>
    <t>Befestigungselement</t>
  </si>
  <si>
    <t>Blindeinnietmuttern</t>
  </si>
  <si>
    <t>Drahtseilhalter</t>
  </si>
  <si>
    <t>Glasklemmhalter</t>
  </si>
  <si>
    <t>Glasbefestigung</t>
  </si>
  <si>
    <t>Punkthalter</t>
  </si>
  <si>
    <t>Punkthalter Ø 45</t>
  </si>
  <si>
    <t>Punkthalter Ø 50</t>
  </si>
  <si>
    <t>Punkthalter Ø52 | Ø72</t>
  </si>
  <si>
    <t>Punkthalter einfach</t>
  </si>
  <si>
    <t>Doppelpunkthalter</t>
  </si>
  <si>
    <t>Seilspanner für Rundrohre</t>
  </si>
  <si>
    <t>Seite</t>
  </si>
  <si>
    <t>Beschr.</t>
  </si>
  <si>
    <t>rosetta di copertura</t>
  </si>
  <si>
    <t>copertura</t>
  </si>
  <si>
    <t>distanziale</t>
  </si>
  <si>
    <t>distanziale per fissaggi a punto</t>
  </si>
  <si>
    <t>cache-embase</t>
  </si>
  <si>
    <t>cover profile</t>
  </si>
  <si>
    <t>fondello quadrato</t>
  </si>
  <si>
    <t>square cover plate</t>
  </si>
  <si>
    <t>spacer</t>
  </si>
  <si>
    <t>entretoise pour fixation ponctuelle</t>
  </si>
  <si>
    <t>piastra di fissaggio</t>
  </si>
  <si>
    <t>anchor plate</t>
  </si>
  <si>
    <t>piastra di fissaggio con 1 foro</t>
  </si>
  <si>
    <t>anchor plate with 1 hole</t>
  </si>
  <si>
    <t>piastra di fissaggio con 2 fori</t>
  </si>
  <si>
    <t>anchor plate with 2 holes</t>
  </si>
  <si>
    <t>piastra di fissaggio con 3 fori</t>
  </si>
  <si>
    <t>anchor plate with 3 holes</t>
  </si>
  <si>
    <t>plaque d'ancrage avec 3 trous</t>
  </si>
  <si>
    <t>piastra di fissaggio con 4 fori</t>
  </si>
  <si>
    <t>anchor plate with 4 holes</t>
  </si>
  <si>
    <t>plaque d'ancrage carrée avec 2 trous</t>
  </si>
  <si>
    <t>plaque d'ancrage carrée avec 4 trous</t>
  </si>
  <si>
    <t>rondella d‘appoggio</t>
  </si>
  <si>
    <t>raccordo per fissaggio</t>
  </si>
  <si>
    <t>élément de fixation</t>
  </si>
  <si>
    <t>fissaggio per lamiera</t>
  </si>
  <si>
    <t>sheet holder</t>
  </si>
  <si>
    <t>pince à tôle</t>
  </si>
  <si>
    <t>inserti filettati</t>
  </si>
  <si>
    <t>écrous à sertir aveugles</t>
  </si>
  <si>
    <t>raccordo a pavimento</t>
  </si>
  <si>
    <t>bottom attachment</t>
  </si>
  <si>
    <t>trapano</t>
  </si>
  <si>
    <t>drill</t>
  </si>
  <si>
    <t>foret</t>
  </si>
  <si>
    <t>fissaggio a punto doppio</t>
  </si>
  <si>
    <t>supporto per fune</t>
  </si>
  <si>
    <t>support câble</t>
  </si>
  <si>
    <t>barra filettata</t>
  </si>
  <si>
    <t>fissaggio per vetro</t>
  </si>
  <si>
    <t>fixation pour verre</t>
  </si>
  <si>
    <t>morsetto</t>
  </si>
  <si>
    <t>pince à verre</t>
  </si>
  <si>
    <t>fondello</t>
  </si>
  <si>
    <t>fissaggio per telaio lamiere</t>
  </si>
  <si>
    <t>sostegno corrimano</t>
  </si>
  <si>
    <t>support de main-courante</t>
  </si>
  <si>
    <t>anello per corrimano</t>
  </si>
  <si>
    <t>ball ring for handrail</t>
  </si>
  <si>
    <t>fissaggio a punto</t>
  </si>
  <si>
    <t>fissaggio a punto singolo</t>
  </si>
  <si>
    <t>fissaggio per traverse</t>
  </si>
  <si>
    <t>cross bar holder</t>
  </si>
  <si>
    <t>tubo</t>
  </si>
  <si>
    <t>tube</t>
  </si>
  <si>
    <t>adaptateur tube sur tube</t>
  </si>
  <si>
    <t>rondella</t>
  </si>
  <si>
    <t>washer</t>
  </si>
  <si>
    <t>shell</t>
  </si>
  <si>
    <t>vite</t>
  </si>
  <si>
    <t>screw</t>
  </si>
  <si>
    <t>vis</t>
  </si>
  <si>
    <t>attacco per fune snodabile</t>
  </si>
  <si>
    <t>tendeur de câble pour tubes ronds</t>
  </si>
  <si>
    <t>Stift</t>
  </si>
  <si>
    <t>pin</t>
  </si>
  <si>
    <t>tappo</t>
  </si>
  <si>
    <t>embout</t>
  </si>
  <si>
    <t>raccordo semplice</t>
  </si>
  <si>
    <t>raccord de jonction</t>
  </si>
  <si>
    <t>ancoraggio laterale</t>
  </si>
  <si>
    <t>fixation murale</t>
  </si>
  <si>
    <t>S.</t>
  </si>
  <si>
    <t>p.</t>
  </si>
  <si>
    <t>Zus DEU</t>
  </si>
  <si>
    <t>Zus ITA</t>
  </si>
  <si>
    <t>Zus ENG</t>
  </si>
  <si>
    <t>Zus FRA</t>
  </si>
  <si>
    <t>Liste DEU</t>
  </si>
  <si>
    <t>Liste ITA</t>
  </si>
  <si>
    <t>Liste ENG</t>
  </si>
  <si>
    <t>Liste FRA</t>
  </si>
  <si>
    <t>Lavinia Tolea</t>
  </si>
  <si>
    <t>Ausrichtung</t>
  </si>
  <si>
    <t>Links</t>
  </si>
  <si>
    <t>Rechts</t>
  </si>
  <si>
    <t>Mitte</t>
  </si>
  <si>
    <t>Eck</t>
  </si>
  <si>
    <t>Eck innen</t>
  </si>
  <si>
    <t>Eck außen</t>
  </si>
  <si>
    <t>A</t>
  </si>
  <si>
    <t>sinistro</t>
  </si>
  <si>
    <t>left</t>
  </si>
  <si>
    <t>gauche</t>
  </si>
  <si>
    <t>destro</t>
  </si>
  <si>
    <t>right</t>
  </si>
  <si>
    <t>intermedio</t>
  </si>
  <si>
    <t>middle</t>
  </si>
  <si>
    <t>ad angolo</t>
  </si>
  <si>
    <t>corner</t>
  </si>
  <si>
    <t>angolo interno</t>
  </si>
  <si>
    <t>inner corner</t>
  </si>
  <si>
    <t>angolo esterno</t>
  </si>
  <si>
    <t>outer corner</t>
  </si>
  <si>
    <t>Nummer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</si>
  <si>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</si>
  <si>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</si>
  <si>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</si>
  <si>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</si>
  <si>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</si>
  <si>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</si>
  <si>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</si>
  <si>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</si>
  <si>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</si>
  <si>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</si>
  <si>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</si>
  <si>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</si>
  <si>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</si>
  <si>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</si>
  <si>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</si>
  <si>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</si>
  <si>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</si>
  <si>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</si>
  <si>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</si>
  <si>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</si>
  <si>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</si>
  <si>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</si>
  <si>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</si>
  <si>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</si>
  <si>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</si>
  <si>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angulaire</t>
  </si>
  <si>
    <t>angulaire intérieur</t>
  </si>
  <si>
    <t>angulaire extérieur</t>
  </si>
  <si>
    <t>droite</t>
  </si>
  <si>
    <t>intermédiare</t>
  </si>
  <si>
    <t>entretoise</t>
  </si>
  <si>
    <t>platine d'ancrage avec 2 trous</t>
  </si>
  <si>
    <t>platine d'ancrage avec 4 trous</t>
  </si>
  <si>
    <t>platine d'ancrage</t>
  </si>
  <si>
    <t>embout bombé à souder</t>
  </si>
  <si>
    <t>platine d'ancrage avec 1 trou</t>
  </si>
  <si>
    <t>fixation par point</t>
  </si>
  <si>
    <t>fixation par point simple</t>
  </si>
  <si>
    <t>fixation par point double</t>
  </si>
  <si>
    <t>connector</t>
  </si>
  <si>
    <t>holder for sheet frame</t>
  </si>
  <si>
    <t>spacer for point holders</t>
  </si>
  <si>
    <t>wall fastening</t>
  </si>
  <si>
    <t>cover rosette</t>
  </si>
  <si>
    <t>handrail holder</t>
  </si>
  <si>
    <t>threaded bar</t>
  </si>
  <si>
    <t>base plate</t>
  </si>
  <si>
    <t>hemisphere to weld</t>
  </si>
  <si>
    <t>fastener</t>
  </si>
  <si>
    <t>pop rivet nuts</t>
  </si>
  <si>
    <t>steel cable holder</t>
  </si>
  <si>
    <t>glass clamp</t>
  </si>
  <si>
    <t>glass fixing</t>
  </si>
  <si>
    <t>glass point holder</t>
  </si>
  <si>
    <t>glass point holder simple</t>
  </si>
  <si>
    <t>double glass point holder</t>
  </si>
  <si>
    <t>steel cable tensioner</t>
  </si>
  <si>
    <t>Stehertool</t>
  </si>
  <si>
    <t>3 Wege Verbinder</t>
  </si>
  <si>
    <t>Halter für Rohrrahmen Ø21,3</t>
  </si>
  <si>
    <t>Seilhalter</t>
  </si>
  <si>
    <t>Gewinde</t>
  </si>
  <si>
    <t>Gewinde links</t>
  </si>
  <si>
    <t>Bohrung</t>
  </si>
  <si>
    <t>Seilhalter mit Gelenk</t>
  </si>
  <si>
    <t>end cap</t>
  </si>
  <si>
    <t>bague pour main-courante</t>
  </si>
  <si>
    <t>3 way connector</t>
  </si>
  <si>
    <t>Bogen 90°</t>
  </si>
  <si>
    <t>raccordo 90°</t>
  </si>
  <si>
    <t>connector 90°</t>
  </si>
  <si>
    <t>tige</t>
  </si>
  <si>
    <t>filetto</t>
  </si>
  <si>
    <t>filetto sinistrorso</t>
  </si>
  <si>
    <t>left-handed thread</t>
  </si>
  <si>
    <t>foro</t>
  </si>
  <si>
    <t>tendeur de câble articulé pour tubes ronds</t>
  </si>
  <si>
    <t>cable holder</t>
  </si>
  <si>
    <t>raccordo „t“</t>
  </si>
  <si>
    <t>raccord ''t" de jonction</t>
  </si>
  <si>
    <t>pièce de recouvrement</t>
  </si>
  <si>
    <t>embout de recouvrement carré</t>
  </si>
  <si>
    <t>platine support main courante</t>
  </si>
  <si>
    <t>embase de sol</t>
  </si>
  <si>
    <t>coude 90°</t>
  </si>
  <si>
    <t>perçage</t>
  </si>
  <si>
    <t>thread</t>
  </si>
  <si>
    <t>filetage</t>
  </si>
  <si>
    <t>filetage pas à gauche</t>
  </si>
  <si>
    <t>tige filetée</t>
  </si>
  <si>
    <t>pince à tôle pour profil cadre</t>
  </si>
  <si>
    <t>fissaggio per telaio ø21,3</t>
  </si>
  <si>
    <t>holder for tubular frame ø21,3</t>
  </si>
  <si>
    <t>pince à tôle pour cadre ø21,3</t>
  </si>
  <si>
    <t>fissaggio a punto ø45</t>
  </si>
  <si>
    <t>glass point holder ø45</t>
  </si>
  <si>
    <t>fixation par point ø45</t>
  </si>
  <si>
    <t>fissaggio a punto ø50</t>
  </si>
  <si>
    <t>glass point holder ø50</t>
  </si>
  <si>
    <t>fixation par point ø50</t>
  </si>
  <si>
    <t>fissaggio a punto ø52 | ø72</t>
  </si>
  <si>
    <t>glass point holder ø52 | ø72</t>
  </si>
  <si>
    <t>fixation par point ø52 | ø72</t>
  </si>
  <si>
    <t>support de lisse</t>
  </si>
  <si>
    <t>platine</t>
  </si>
  <si>
    <t>embout à souder</t>
  </si>
  <si>
    <t>supporto fune</t>
  </si>
  <si>
    <t>articulated cable holder</t>
  </si>
  <si>
    <t>perno</t>
  </si>
  <si>
    <t>BesprechungOG1</t>
  </si>
  <si>
    <t>Hannes Maurer</t>
  </si>
  <si>
    <t>Lukas Seeber</t>
  </si>
  <si>
    <t>René Zagler</t>
  </si>
  <si>
    <t>26,9x2,0</t>
  </si>
  <si>
    <t>Anfänger</t>
  </si>
  <si>
    <t>Ankerplatte mit 2 Löchern</t>
  </si>
  <si>
    <t>Gehrung</t>
  </si>
  <si>
    <t>Handlaufhalter LED</t>
  </si>
  <si>
    <t>partenza</t>
  </si>
  <si>
    <t>sostegno corrimano LED</t>
  </si>
  <si>
    <t>handrail holder LED</t>
  </si>
  <si>
    <t>support de main-courante LED</t>
  </si>
  <si>
    <t>Ecke in Gehrung geschweißt und verschliffen</t>
  </si>
  <si>
    <t>angolo saldato a spigolo e risatinato</t>
  </si>
  <si>
    <t>coins soudés à l'onglet et brossés</t>
  </si>
  <si>
    <t>Rohrrahmenschloss</t>
  </si>
  <si>
    <t>serratura</t>
  </si>
  <si>
    <t>door lock</t>
  </si>
  <si>
    <t>verrou</t>
  </si>
  <si>
    <t>Lukas Baumgartner</t>
  </si>
  <si>
    <t>Totale Gew.</t>
  </si>
  <si>
    <t>Leandro Lambertenghi</t>
  </si>
  <si>
    <t>60,3x2,0</t>
  </si>
  <si>
    <t>60,3x2,5</t>
  </si>
  <si>
    <t>Abdelhakim El Yassami</t>
  </si>
  <si>
    <t>Patrik Mair</t>
  </si>
  <si>
    <t>Glasauflage</t>
  </si>
  <si>
    <t>appoggio di sicurezza</t>
  </si>
  <si>
    <t>glass support</t>
  </si>
  <si>
    <t>sécurité pour les vitres</t>
  </si>
  <si>
    <t>Scheibensicherung</t>
  </si>
  <si>
    <t>Spalte1</t>
  </si>
  <si>
    <t>Leon Frenademez</t>
  </si>
  <si>
    <t>Dario Canale</t>
  </si>
  <si>
    <t>Version: 8.8</t>
  </si>
  <si>
    <t>Update: 01.07.2022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</si>
</sst>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min&quot;"/>
    <numFmt numFmtId="165" formatCode="0\ &quot;€&quot;"/>
    <numFmt numFmtId="166" formatCode="0\ &quot;%&quot;"/>
    <numFmt numFmtId="167" formatCode="0.000"/>
    <numFmt numFmtId="168" formatCode="0.00\ &quot;€&quot;"/>
    <numFmt numFmtId="169" formatCode="0\ &quot;St.&quot;"/>
    <numFmt numFmtId="170" formatCode="0.000\ &quot;St. (6m)&quot;"/>
    <numFmt numFmtId="171" formatCode="0;\-0;;@"/>
    <numFmt numFmtId="172" formatCode="0.00\ &quot;kg&quot;"/>
    <numFmt numFmtId="173" formatCode="0.00000"/>
    <numFmt numFmtId="174" formatCode="dd/mm/yyyy\ hh:mm:ss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scheme val="minor"/>
    </font>
    <font>
      <sz val="9"/>
      <color theme="0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sz val="9"/>
      <color theme="5" tint="-0.249977111117893"/>
      <name val="Calibri"/>
      <family val="2"/>
      <scheme val="minor"/>
    </font>
    <font>
      <b/>
      <sz val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thin">
        <color theme="7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Font="1" applyFill="1" applyBorder="1"/>
    <xf numFmtId="0" fontId="0" fillId="0" borderId="0" xfId="0" applyFont="1" applyFill="1" applyBorder="1" applyAlignment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quotePrefix="1" applyFont="1" applyFill="1" applyBorder="1"/>
    <xf numFmtId="0" fontId="1" fillId="2" borderId="1" xfId="0" applyFont="1" applyFill="1" applyBorder="1" applyAlignment="1" applyProtection="1">
      <alignment horizontal="left" indent="1"/>
      <protection locked="0"/>
    </xf>
    <xf numFmtId="164" fontId="1" fillId="4" borderId="4" xfId="0" applyNumberFormat="1" applyFont="1" applyFill="1" applyBorder="1" applyAlignment="1" applyProtection="1">
      <alignment horizontal="right" indent="3"/>
      <protection locked="0"/>
    </xf>
    <xf numFmtId="165" fontId="1" fillId="5" borderId="5" xfId="0" applyNumberFormat="1" applyFont="1" applyFill="1" applyBorder="1" applyAlignment="1" applyProtection="1">
      <alignment horizontal="left" indent="1"/>
      <protection locked="0"/>
    </xf>
    <xf numFmtId="166" fontId="1" fillId="5" borderId="5" xfId="0" applyNumberFormat="1" applyFont="1" applyFill="1" applyBorder="1" applyAlignment="1" applyProtection="1">
      <alignment horizontal="left" indent="1"/>
      <protection locked="0"/>
    </xf>
    <xf numFmtId="0" fontId="1" fillId="0" borderId="0" xfId="0" quotePrefix="1" applyFont="1" applyAlignment="1" applyProtection="1">
      <alignment horizontal="left" indent="1"/>
      <protection locked="0"/>
    </xf>
    <xf numFmtId="169" fontId="1" fillId="0" borderId="0" xfId="0" applyNumberFormat="1" applyFont="1" applyAlignment="1" applyProtection="1">
      <alignment horizontal="right" indent="1"/>
      <protection locked="0"/>
    </xf>
    <xf numFmtId="167" fontId="1" fillId="0" borderId="0" xfId="0" applyNumberFormat="1" applyFont="1" applyAlignment="1" applyProtection="1">
      <alignment horizontal="right" indent="1"/>
      <protection locked="0"/>
    </xf>
    <xf numFmtId="0" fontId="1" fillId="0" borderId="0" xfId="0" applyFont="1" applyAlignment="1" applyProtection="1">
      <alignment horizontal="left" indent="1"/>
      <protection locked="0"/>
    </xf>
    <xf numFmtId="164" fontId="1" fillId="0" borderId="0" xfId="0" applyNumberFormat="1" applyFont="1" applyAlignment="1" applyProtection="1">
      <alignment horizontal="right" indent="1"/>
      <protection locked="0"/>
    </xf>
    <xf numFmtId="0" fontId="1" fillId="0" borderId="0" xfId="0" applyFont="1" applyProtection="1"/>
    <xf numFmtId="0" fontId="3" fillId="6" borderId="1" xfId="0" applyFont="1" applyFill="1" applyBorder="1" applyAlignment="1" applyProtection="1">
      <alignment horizontal="right" indent="1"/>
    </xf>
    <xf numFmtId="0" fontId="3" fillId="10" borderId="4" xfId="0" applyFont="1" applyFill="1" applyBorder="1" applyAlignment="1" applyProtection="1">
      <alignment horizontal="right" indent="1"/>
    </xf>
    <xf numFmtId="0" fontId="3" fillId="11" borderId="5" xfId="0" applyFont="1" applyFill="1" applyBorder="1" applyAlignment="1" applyProtection="1">
      <alignment horizontal="right" indent="1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left" indent="1"/>
    </xf>
    <xf numFmtId="170" fontId="1" fillId="0" borderId="0" xfId="0" applyNumberFormat="1" applyFont="1" applyFill="1" applyBorder="1" applyAlignment="1" applyProtection="1">
      <alignment horizontal="right" indent="1"/>
    </xf>
    <xf numFmtId="2" fontId="1" fillId="0" borderId="0" xfId="0" applyNumberFormat="1" applyFont="1" applyFill="1" applyBorder="1" applyAlignment="1" applyProtection="1">
      <alignment horizontal="right" indent="1"/>
    </xf>
    <xf numFmtId="167" fontId="1" fillId="0" borderId="0" xfId="0" applyNumberFormat="1" applyFont="1" applyFill="1" applyBorder="1" applyAlignment="1" applyProtection="1">
      <alignment horizontal="right" indent="1"/>
    </xf>
    <xf numFmtId="0" fontId="1" fillId="0" borderId="0" xfId="0" applyFont="1" applyAlignment="1" applyProtection="1">
      <alignment horizontal="center"/>
    </xf>
    <xf numFmtId="167" fontId="1" fillId="0" borderId="0" xfId="0" applyNumberFormat="1" applyFont="1" applyAlignment="1" applyProtection="1">
      <alignment horizontal="center"/>
    </xf>
    <xf numFmtId="2" fontId="1" fillId="0" borderId="0" xfId="0" applyNumberFormat="1" applyFont="1" applyAlignment="1" applyProtection="1">
      <alignment horizontal="right" indent="1"/>
    </xf>
    <xf numFmtId="167" fontId="1" fillId="0" borderId="0" xfId="0" applyNumberFormat="1" applyFont="1" applyAlignment="1" applyProtection="1">
      <alignment horizontal="right" indent="1"/>
    </xf>
    <xf numFmtId="0" fontId="1" fillId="0" borderId="0" xfId="0" applyFont="1" applyAlignment="1" applyProtection="1">
      <alignment horizontal="left" indent="1"/>
    </xf>
    <xf numFmtId="0" fontId="2" fillId="3" borderId="3" xfId="0" applyFont="1" applyFill="1" applyBorder="1" applyAlignment="1" applyProtection="1">
      <alignment horizontal="center"/>
    </xf>
    <xf numFmtId="0" fontId="2" fillId="3" borderId="2" xfId="0" applyFont="1" applyFill="1" applyBorder="1" applyAlignment="1" applyProtection="1">
      <alignment horizontal="center"/>
    </xf>
    <xf numFmtId="164" fontId="1" fillId="0" borderId="0" xfId="0" applyNumberFormat="1" applyFont="1" applyAlignment="1" applyProtection="1">
      <alignment horizontal="right" indent="1"/>
    </xf>
    <xf numFmtId="0" fontId="1" fillId="13" borderId="8" xfId="0" applyFont="1" applyFill="1" applyBorder="1" applyAlignment="1" applyProtection="1">
      <alignment horizontal="left" indent="1"/>
    </xf>
    <xf numFmtId="168" fontId="2" fillId="12" borderId="0" xfId="0" applyNumberFormat="1" applyFont="1" applyFill="1" applyAlignment="1" applyProtection="1">
      <alignment horizontal="right" indent="1"/>
    </xf>
    <xf numFmtId="0" fontId="0" fillId="0" borderId="0" xfId="0" applyAlignment="1"/>
    <xf numFmtId="0" fontId="0" fillId="0" borderId="0" xfId="0" quotePrefix="1"/>
    <xf numFmtId="0" fontId="1" fillId="0" borderId="0" xfId="0" applyFont="1" applyAlignment="1" applyProtection="1">
      <alignment vertical="center"/>
    </xf>
    <xf numFmtId="0" fontId="0" fillId="0" borderId="0" xfId="0" applyNumberFormat="1"/>
    <xf numFmtId="0" fontId="4" fillId="0" borderId="0" xfId="0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center"/>
    </xf>
    <xf numFmtId="0" fontId="1" fillId="0" borderId="0" xfId="0" applyFont="1" applyAlignment="1"/>
    <xf numFmtId="0" fontId="5" fillId="0" borderId="0" xfId="0" applyFont="1" applyFill="1" applyBorder="1" applyProtection="1"/>
    <xf numFmtId="0" fontId="6" fillId="0" borderId="0" xfId="0" applyFont="1" applyFill="1" applyBorder="1" applyAlignment="1" applyProtection="1">
      <alignment horizontal="left" indent="1"/>
    </xf>
    <xf numFmtId="168" fontId="6" fillId="0" borderId="0" xfId="0" applyNumberFormat="1" applyFont="1" applyFill="1" applyBorder="1" applyAlignment="1" applyProtection="1">
      <alignment horizontal="right" indent="1"/>
    </xf>
    <xf numFmtId="0" fontId="6" fillId="0" borderId="0" xfId="0" applyFont="1" applyProtection="1"/>
    <xf numFmtId="0" fontId="3" fillId="16" borderId="15" xfId="0" applyFont="1" applyFill="1" applyBorder="1" applyAlignment="1" applyProtection="1">
      <alignment horizontal="right" indent="1"/>
    </xf>
    <xf numFmtId="0" fontId="1" fillId="17" borderId="15" xfId="0" applyFont="1" applyFill="1" applyBorder="1" applyAlignment="1" applyProtection="1">
      <alignment horizontal="left" indent="1"/>
      <protection locked="0"/>
    </xf>
    <xf numFmtId="1" fontId="1" fillId="0" borderId="0" xfId="0" applyNumberFormat="1" applyFont="1" applyFill="1" applyBorder="1" applyAlignment="1" applyProtection="1">
      <alignment horizontal="right" indent="1"/>
    </xf>
    <xf numFmtId="0" fontId="0" fillId="0" borderId="0" xfId="0" applyNumberFormat="1" applyAlignment="1">
      <alignment horizontal="left"/>
    </xf>
    <xf numFmtId="0" fontId="1" fillId="0" borderId="0" xfId="0" applyNumberFormat="1" applyFont="1" applyAlignment="1" applyProtection="1">
      <alignment horizontal="right" indent="1"/>
    </xf>
    <xf numFmtId="171" fontId="1" fillId="0" borderId="0" xfId="0" applyNumberFormat="1" applyFont="1" applyAlignment="1" applyProtection="1">
      <alignment horizontal="right" indent="1"/>
    </xf>
    <xf numFmtId="168" fontId="7" fillId="13" borderId="0" xfId="0" applyNumberFormat="1" applyFont="1" applyFill="1" applyAlignment="1" applyProtection="1">
      <alignment horizontal="right" indent="1"/>
    </xf>
    <xf numFmtId="0" fontId="8" fillId="14" borderId="0" xfId="0" applyFont="1" applyFill="1" applyBorder="1" applyAlignment="1" applyProtection="1">
      <alignment horizontal="left" indent="1"/>
    </xf>
    <xf numFmtId="0" fontId="1" fillId="0" borderId="0" xfId="0" applyFont="1" applyAlignment="1" applyProtection="1">
      <alignment horizontal="center"/>
    </xf>
    <xf numFmtId="172" fontId="7" fillId="13" borderId="0" xfId="0" applyNumberFormat="1" applyFont="1" applyFill="1" applyAlignment="1" applyProtection="1">
      <alignment horizontal="right" indent="1"/>
    </xf>
    <xf numFmtId="0" fontId="9" fillId="0" borderId="0" xfId="0" applyFont="1" applyFill="1" applyBorder="1" applyAlignment="1" applyProtection="1">
      <alignment horizontal="center"/>
    </xf>
    <xf numFmtId="167" fontId="1" fillId="0" borderId="0" xfId="0" applyNumberFormat="1" applyFont="1" applyBorder="1" applyAlignment="1" applyProtection="1">
      <alignment horizontal="right" indent="1"/>
      <protection locked="0"/>
    </xf>
    <xf numFmtId="167" fontId="1" fillId="0" borderId="0" xfId="0" applyNumberFormat="1" applyFont="1" applyBorder="1" applyAlignment="1" applyProtection="1">
      <alignment horizontal="right" indent="1"/>
    </xf>
    <xf numFmtId="22" fontId="1" fillId="0" borderId="0" xfId="0" applyNumberFormat="1" applyFont="1" applyProtection="1"/>
    <xf numFmtId="173" fontId="1" fillId="0" borderId="0" xfId="0" applyNumberFormat="1" applyFont="1" applyProtection="1"/>
    <xf numFmtId="174" fontId="1" fillId="0" borderId="0" xfId="0" applyNumberFormat="1" applyFont="1" applyProtection="1"/>
    <xf numFmtId="0" fontId="1" fillId="0" borderId="13" xfId="0" applyFont="1" applyBorder="1" applyAlignment="1" applyProtection="1">
      <alignment horizontal="left" indent="1"/>
    </xf>
    <xf numFmtId="0" fontId="1" fillId="0" borderId="14" xfId="0" applyFont="1" applyBorder="1" applyAlignment="1" applyProtection="1">
      <alignment horizontal="left" indent="1"/>
    </xf>
    <xf numFmtId="0" fontId="2" fillId="9" borderId="0" xfId="0" applyFont="1" applyFill="1" applyAlignment="1" applyProtection="1">
      <alignment horizontal="center"/>
    </xf>
    <xf numFmtId="0" fontId="2" fillId="15" borderId="0" xfId="0" applyFont="1" applyFill="1" applyBorder="1" applyAlignment="1" applyProtection="1">
      <alignment horizontal="center"/>
    </xf>
    <xf numFmtId="0" fontId="1" fillId="0" borderId="11" xfId="0" applyFont="1" applyBorder="1" applyAlignment="1" applyProtection="1">
      <alignment horizontal="left" indent="1"/>
    </xf>
    <xf numFmtId="0" fontId="1" fillId="0" borderId="12" xfId="0" applyFont="1" applyBorder="1" applyAlignment="1" applyProtection="1">
      <alignment horizontal="left" indent="1"/>
    </xf>
    <xf numFmtId="0" fontId="2" fillId="8" borderId="6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2" fillId="7" borderId="7" xfId="0" applyFont="1" applyFill="1" applyBorder="1" applyAlignment="1" applyProtection="1">
      <alignment horizontal="center"/>
    </xf>
    <xf numFmtId="0" fontId="1" fillId="0" borderId="9" xfId="0" applyFont="1" applyBorder="1" applyAlignment="1" applyProtection="1">
      <alignment horizontal="left" indent="1"/>
    </xf>
    <xf numFmtId="0" fontId="1" fillId="0" borderId="10" xfId="0" applyFont="1" applyBorder="1" applyAlignment="1" applyProtection="1">
      <alignment horizontal="left" indent="1"/>
    </xf>
  </cellXfs>
  <cellStyles count="1">
    <cellStyle name="Standard" xfId="0" builtinId="0"/>
  </cellStyles>
  <dxfs count="101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75" formatCode="\ "/>
    </dxf>
    <dxf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numFmt numFmtId="175" formatCode="\ "/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</font>
    </dxf>
    <dxf>
      <font>
        <color theme="5"/>
      </font>
    </dxf>
    <dxf>
      <numFmt numFmtId="175" formatCode="\ 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numFmt numFmtId="175" formatCode="\ "/>
    </dxf>
    <dxf>
      <font>
        <color theme="0"/>
      </font>
      <numFmt numFmtId="0" formatCode="General"/>
      <fill>
        <patternFill patternType="none">
          <bgColor auto="1"/>
        </patternFill>
      </fill>
      <border>
        <left/>
        <right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0" formatCode="0.000\ &quot;St. (6m)&quot;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4" formatCode="0.00\ &quot;min&quot;"/>
      <alignment horizontal="right" vertical="bottom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left" vertical="bottom" textRotation="0" wrapText="0" indent="1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left" vertical="bottom" textRotation="0" wrapText="0" indent="1" justifyLastLine="0" shrinkToFit="0" readingOrder="0"/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4" formatCode="0.00\ &quot;min&quot;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1" formatCode="0;\-0;;@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2" formatCode="0.00"/>
      <alignment horizontal="righ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9" formatCode="0\ &quot;St.&quot;"/>
      <alignment horizontal="right" vertical="bottom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alignment horizontal="left" vertical="bottom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9525</xdr:colOff>
          <xdr:row>24</xdr:row>
          <xdr:rowOff>0</xdr:rowOff>
        </xdr:to>
        <xdr:sp macro="" textlink="">
          <xdr:nvSpPr>
            <xdr:cNvPr id="1031" name="tbDE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1034" name="bCop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037" name="bNe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9" name="bLoad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041" name="bSwitchUs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kumente%20TeamAdmin/BerechnungsTools/Datenbank/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tBaseTable"/>
      <sheetName val="Tabelle1"/>
    </sheetNames>
    <sheetDataSet>
      <sheetData sheetId="0">
        <row r="1">
          <cell r="V1" t="str">
            <v>DBVersion: 6.14 | 04.05.2022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bfrage von Excel Files" refreshOnLoad="1" growShrinkType="overwriteClear" removeDataOnSave="1" connectionId="1" xr16:uid="{00000000-0016-0000-0200-000000000000}" autoFormatId="16" applyNumberFormats="0" applyBorderFormats="0" applyFontFormats="0" applyPatternFormats="0" applyAlignmentFormats="0" applyWidthHeightFormats="0">
  <queryTableRefresh nextId="56" unboundColumnsLeft="3">
    <queryTableFields count="20">
      <queryTableField id="47" dataBound="0" tableColumnId="47"/>
      <queryTableField id="46" dataBound="0" tableColumnId="48"/>
      <queryTableField id="48" dataBound="0" tableColumnId="49"/>
      <queryTableField id="1" name="ID" tableColumnId="1"/>
      <queryTableField id="2" name="Material" tableColumnId="2"/>
      <queryTableField id="3" name="Oberfläche" tableColumnId="3"/>
      <queryTableField id="4" name="EK" tableColumnId="4"/>
      <queryTableField id="51" name="Seite" tableColumnId="5"/>
      <queryTableField id="6" name="Kontext" tableColumnId="6"/>
      <queryTableField id="7" name="Typ" tableColumnId="7"/>
      <queryTableField id="8" name="Kurzbeschreibung" tableColumnId="8"/>
      <queryTableField id="9" name="Durchmesser Rohr" tableColumnId="9"/>
      <queryTableField id="10" name="Stärke" tableColumnId="10"/>
      <queryTableField id="11" name="Schweißen" tableColumnId="11"/>
      <queryTableField id="12" name="Bohren" tableColumnId="12"/>
      <queryTableField id="49" name="Montage" tableColumnId="16"/>
      <queryTableField id="53" name="Gewicht" tableColumnId="17"/>
      <queryTableField id="13" name="SKP" tableColumnId="13"/>
      <queryTableField id="14" name="VK-DE" tableColumnId="14"/>
      <queryTableField id="15" name="VK-IT" tableColumnId="15"/>
    </queryTableFields>
  </queryTableRefresh>
</queryTable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0000000}" name="tabArtikelliste" displayName="tabArtikelliste" ref="B16:I26" totalsRowShown="0" headerRowDxfId="100" dataDxfId="99">
  <autoFilter ref="B16:I26" xr:uid="{00000000-0009-0000-0100-00000C000000}"/>
  <tableColumns count="8">
    <tableColumn id="1" xr3:uid="{00000000-0010-0000-0000-000001000000}" name="A" dataDxfId="98"/>
    <tableColumn id="2" xr3:uid="{00000000-0010-0000-0000-000002000000}" name="n" dataDxfId="97"/>
    <tableColumn id="4" xr3:uid="{00000000-0010-0000-0000-000004000000}" name="SKP" dataDxfId="96">
      <calculatedColumnFormula>IF(tabArtikelliste[[#This Row],[A]]&lt;&gt;"",Liste.SKP*(100+(Preis.AufschlagEK*Liste.EK))/100,0)</calculatedColumnFormula>
    </tableColumn>
    <tableColumn id="5" xr3:uid="{00000000-0010-0000-0000-000005000000}" name="Sum SKP" dataDxfId="95">
      <calculatedColumnFormula>tabArtikelliste[[#This Row],[SKP]]*tabArtikelliste[[#This Row],[n]]</calculatedColumnFormula>
    </tableColumn>
    <tableColumn id="6" xr3:uid="{00000000-0010-0000-0000-000006000000}" name="Gew." dataDxfId="94">
      <calculatedColumnFormula>IFERROR(Liste.Gewicht,0)</calculatedColumnFormula>
    </tableColumn>
    <tableColumn id="7" xr3:uid="{00000000-0010-0000-0000-000007000000}" name="Sum Gew." dataDxfId="93">
      <calculatedColumnFormula>tabArtikelliste[[#This Row],[Gew.]]*tabArtikelliste[[#This Row],[n]]</calculatedColumnFormula>
    </tableColumn>
    <tableColumn id="8" xr3:uid="{00000000-0010-0000-0000-000008000000}" name="Seite" dataDxfId="92">
      <calculatedColumnFormula>IFERROR(Liste.Seite,"")</calculatedColumnFormula>
    </tableColumn>
    <tableColumn id="9" xr3:uid="{00000000-0010-0000-0000-000009000000}" name="Beschr." dataDxfId="91">
      <calculatedColumnFormula>IFERROR(Liste.Beschreibung,"")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abBearbeitung" displayName="tabBearbeitung" ref="B35:E43" totalsRowShown="0" headerRowDxfId="90" dataDxfId="89">
  <autoFilter ref="B35:E43" xr:uid="{00000000-0009-0000-0100-00000E000000}"/>
  <tableColumns count="4">
    <tableColumn id="1" xr3:uid="{00000000-0010-0000-0100-000001000000}" name="Arbeit" dataDxfId="88"/>
    <tableColumn id="2" xr3:uid="{00000000-0010-0000-0100-000002000000}" name="Menge" dataDxfId="87">
      <calculatedColumnFormula>Zeit.Zuschneiden</calculatedColumnFormula>
    </tableColumn>
    <tableColumn id="4" xr3:uid="{00000000-0010-0000-0100-000004000000}" name="SKP" dataDxfId="86">
      <calculatedColumnFormula>Preis.SatzSKP/60</calculatedColumnFormula>
    </tableColumn>
    <tableColumn id="5" xr3:uid="{00000000-0010-0000-0100-000005000000}" name="Sum SKP" dataDxfId="85">
      <calculatedColumnFormula>tabBearbeitung[[#This Row],[SKP]]*tabBearbeitung[[#This Row],[Menge]]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tabExtraBearbeitung" displayName="tabExtraBearbeitung" ref="B28:G33" totalsRowShown="0" headerRowDxfId="84" dataDxfId="82" headerRowBorderDxfId="83" tableBorderDxfId="81">
  <autoFilter ref="B28:G33" xr:uid="{00000000-0009-0000-0100-00000F000000}"/>
  <tableColumns count="6">
    <tableColumn id="1" xr3:uid="{00000000-0010-0000-0200-000001000000}" name="Spalte1" dataDxfId="80"/>
    <tableColumn id="2" xr3:uid="{00000000-0010-0000-0200-000002000000}" name="n" dataDxfId="79"/>
    <tableColumn id="4" xr3:uid="{00000000-0010-0000-0200-000004000000}" name="SKP" dataDxfId="78">
      <calculatedColumnFormula>Preis.SatzSKP/60</calculatedColumnFormula>
    </tableColumn>
    <tableColumn id="5" xr3:uid="{00000000-0010-0000-0200-000005000000}" name="Sum SKP" dataDxfId="77">
      <calculatedColumnFormula>tabExtraBearbeitung[[#This Row],[SKP]]*tabExtraBearbeitung[[#This Row],[n]]</calculatedColumnFormula>
    </tableColumn>
    <tableColumn id="6" xr3:uid="{00000000-0010-0000-0200-000006000000}" name="Gew." dataDxfId="76"/>
    <tableColumn id="7" xr3:uid="{00000000-0010-0000-0200-000007000000}" name="Sum Gew." dataDxfId="75">
      <calculatedColumnFormula>tabExtraBearbeitung[[#This Row],[Gew.]]*tabExtraBearbeitung[[#This Row],[n]]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3000000}" name="tabRohr" displayName="tabRohr" ref="B13:I14" totalsRowShown="0" headerRowDxfId="74" dataDxfId="73">
  <autoFilter ref="B13:I14" xr:uid="{00000000-0009-0000-0100-000013000000}"/>
  <tableColumns count="8">
    <tableColumn id="1" xr3:uid="{00000000-0010-0000-0300-000001000000}" name="art." dataDxfId="72">
      <calculatedColumnFormula>Steher.Rohr</calculatedColumnFormula>
    </tableColumn>
    <tableColumn id="2" xr3:uid="{00000000-0010-0000-0300-000002000000}" name="n" dataDxfId="71">
      <calculatedColumnFormula>1/ROUNDDOWN(6000/Eingabe.Länge,1)</calculatedColumnFormula>
    </tableColumn>
    <tableColumn id="3" xr3:uid="{00000000-0010-0000-0300-000003000000}" name="SKP" dataDxfId="70">
      <calculatedColumnFormula>IFERROR(Rohr.SKP*(100+(Preis.AufschlagEK*Rohr.EK))/100,0)</calculatedColumnFormula>
    </tableColumn>
    <tableColumn id="4" xr3:uid="{00000000-0010-0000-0300-000004000000}" name="Sum SKP" dataDxfId="69">
      <calculatedColumnFormula>tabRohr[[#This Row],[SKP]]*tabRohr[[#This Row],[n]]</calculatedColumnFormula>
    </tableColumn>
    <tableColumn id="5" xr3:uid="{00000000-0010-0000-0300-000005000000}" name="Gew." dataDxfId="68">
      <calculatedColumnFormula>IFERROR(Rohr.Gewicht,0)</calculatedColumnFormula>
    </tableColumn>
    <tableColumn id="6" xr3:uid="{00000000-0010-0000-0300-000006000000}" name="Sum Gew." dataDxfId="67">
      <calculatedColumnFormula>tabRohr[[#This Row],[Gew.]]*tabRohr[[#This Row],[n]]</calculatedColumnFormula>
    </tableColumn>
    <tableColumn id="7" xr3:uid="{00000000-0010-0000-0300-000007000000}" name="Seite" dataDxfId="66">
      <calculatedColumnFormula>IFERROR(Rohr.Gewicht,"-")</calculatedColumnFormula>
    </tableColumn>
    <tableColumn id="8" xr3:uid="{00000000-0010-0000-0300-000008000000}" name="Beschr." dataDxf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E_Material" displayName="tabE_Material" ref="H1:H3" totalsRowShown="0">
  <autoFilter ref="H1:H3" xr:uid="{00000000-0009-0000-0100-000007000000}"/>
  <tableColumns count="1">
    <tableColumn id="1" xr3:uid="{00000000-0010-0000-0400-000001000000}" name="Materi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E_Oberfläche" displayName="tabE_Oberfläche" ref="J1:J5" totalsRowShown="0">
  <autoFilter ref="J1:J5" xr:uid="{00000000-0009-0000-0100-000008000000}"/>
  <tableColumns count="1">
    <tableColumn id="1" xr3:uid="{00000000-0010-0000-0500-000001000000}" name="Oberfläche" dataDxfId="64">
      <calculatedColumnFormula>INDEX(tabE_ÜbersetzungOberfläche[],ROW()-ROW(tabE_Oberfläche[[#Headers],[Oberfläche]]),MATCH(Sprache.Interface,Filter.Sprache,0))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E_ØSteher" displayName="tabE_ØSteher" ref="L1:L12" totalsRowShown="0">
  <autoFilter ref="L1:L12" xr:uid="{00000000-0009-0000-0100-000009000000}"/>
  <tableColumns count="1">
    <tableColumn id="1" xr3:uid="{00000000-0010-0000-0600-000001000000}" name="ØSteh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E_Artikeltyp" displayName="tabE_Artikeltyp" ref="V1:V4" totalsRowShown="0">
  <autoFilter ref="V1:V4" xr:uid="{00000000-0009-0000-0100-00000A000000}"/>
  <tableColumns count="1">
    <tableColumn id="1" xr3:uid="{00000000-0010-0000-0700-000001000000}" name="Artikeltyp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_Artikel" displayName="tabE_Artikel" ref="X1:X601" totalsRowShown="0">
  <autoFilter ref="X1:X601" xr:uid="{00000000-0009-0000-0100-00000B000000}"/>
  <tableColumns count="1">
    <tableColumn id="1" xr3:uid="{00000000-0010-0000-0800-000001000000}" name="Artikel" dataDxfId="63">
      <calculatedColumnFormula>IFERROR(INDEX(tabSource[Artikel],SMALL(tabSource[Liste],COUNTIF(tabSource[Liste],"=0")+ROW(A1)-1))," 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E_Sprache" displayName="tabE_Sprache" ref="A1:A5" totalsRowShown="0">
  <autoFilter ref="A1:A5" xr:uid="{00000000-0009-0000-0100-00000D000000}"/>
  <tableColumns count="1">
    <tableColumn id="1" xr3:uid="{00000000-0010-0000-0900-000001000000}" name="Sprach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A000000}" name="tabB_Artikelliste" displayName="tabB_Artikelliste" ref="Z1:AO16" totalsRowShown="0" dataDxfId="62">
  <autoFilter ref="Z1:AO16" xr:uid="{00000000-0009-0000-0100-000011000000}"/>
  <tableColumns count="16">
    <tableColumn id="1" xr3:uid="{00000000-0010-0000-0A00-000001000000}" name="-" dataDxfId="61" totalsRowDxfId="60">
      <calculatedColumnFormula>" - "</calculatedColumnFormula>
    </tableColumn>
    <tableColumn id="2" xr3:uid="{00000000-0010-0000-0A00-000002000000}" name="Menge" dataDxfId="59" totalsRowDxfId="58">
      <calculatedColumnFormula>IFERROR(INDEX(tabArtikelliste[n],ROW(A1)),0)</calculatedColumnFormula>
    </tableColumn>
    <tableColumn id="3" xr3:uid="{00000000-0010-0000-0A00-000003000000}" name="x" dataDxfId="57" totalsRowDxfId="56">
      <calculatedColumnFormula>"x "</calculatedColumnFormula>
    </tableColumn>
    <tableColumn id="4" xr3:uid="{00000000-0010-0000-0A00-000004000000}" name="Artikel" dataDxfId="55" totalsRowDxfId="54">
      <calculatedColumnFormula>IFERROR(INDEX(tabArtikelliste[A],ROW(A1)),0)</calculatedColumnFormula>
    </tableColumn>
    <tableColumn id="5" xr3:uid="{00000000-0010-0000-0A00-000005000000}" name="Liste" dataDxfId="53" totalsRowDxfId="52">
      <calculatedColumnFormula>CONCATENATE($Z2,IF($AA2&lt;&gt;"",$AA2,0),$AB2,IF($AC2&lt;&gt;"",$AC2,0),IFERROR(IF(tabB_Artikelliste[[#This Row],[Zus DEU]]="Bohrung","mm",""),""))</calculatedColumnFormula>
    </tableColumn>
    <tableColumn id="6" xr3:uid="{00000000-0010-0000-0A00-000006000000}" name="Bohrungen" dataDxfId="51" totalsRowDxfId="50">
      <calculatedColumnFormula>IFERROR(INDEX(tabSource[Bohren],MATCH("&lt;"&amp;tabB_Artikelliste[[#This Row],[Artikel]]&amp;"&gt;",tabSource[ID],0))*tabB_Artikelliste[[#This Row],[Menge]],"")</calculatedColumnFormula>
    </tableColumn>
    <tableColumn id="7" xr3:uid="{00000000-0010-0000-0A00-000007000000}" name="Schweißen" dataDxfId="49" totalsRowDxfId="48">
      <calculatedColumnFormula>IFERROR(INDEX(tabSource[Schweißen],MATCH("&lt;"&amp;tabB_Artikelliste[[#This Row],[Artikel]]&amp;"&gt;",tabSource[ID],0))*tabB_Artikelliste[[#This Row],[Menge]],"")</calculatedColumnFormula>
    </tableColumn>
    <tableColumn id="10" xr3:uid="{00000000-0010-0000-0A00-00000A000000}" name="Zus DEU" dataDxfId="47" totalsRowDxfId="46">
      <calculatedColumnFormula>INDEX(tabB_ÜbersetzungBeschreibung[DEU],MATCH(INDEX(tabArtikelliste[Beschr.],ROW(A1)),tabB_ÜbersetzungBeschreibung[Eingabe],0))</calculatedColumnFormula>
    </tableColumn>
    <tableColumn id="11" xr3:uid="{00000000-0010-0000-0A00-00000B000000}" name="Zus ITA" dataDxfId="45" totalsRowDxfId="44">
      <calculatedColumnFormula>INDEX(tabB_ÜbersetzungBeschreibung[ITA],MATCH(INDEX(tabArtikelliste[Beschr.],ROW(A1)),tabB_ÜbersetzungBeschreibung[Eingabe],0))</calculatedColumnFormula>
    </tableColumn>
    <tableColumn id="12" xr3:uid="{00000000-0010-0000-0A00-00000C000000}" name="Zus ENG" dataDxfId="43" totalsRowDxfId="42">
      <calculatedColumnFormula>INDEX(tabB_ÜbersetzungBeschreibung[ENG],MATCH(INDEX(tabArtikelliste[Beschr.],ROW(A1)),tabB_ÜbersetzungBeschreibung[Eingabe],0))</calculatedColumnFormula>
    </tableColumn>
    <tableColumn id="13" xr3:uid="{00000000-0010-0000-0A00-00000D000000}" name="Zus FRA" dataDxfId="41" totalsRowDxfId="40">
      <calculatedColumnFormula>INDEX(tabB_ÜbersetzungBeschreibung[FRA],MATCH(INDEX(tabArtikelliste[Beschr.],ROW(A1)),tabB_ÜbersetzungBeschreibung[Eingabe],0))</calculatedColumnFormula>
    </tableColumn>
    <tableColumn id="14" xr3:uid="{00000000-0010-0000-0A00-00000E000000}" name="Seite" dataDxfId="39" totalsRowDxfId="38">
      <calculatedColumnFormula>INDEX(tabArtikelliste[Seite],ROW(A1))</calculatedColumnFormula>
    </tableColumn>
    <tableColumn id="16" xr3:uid="{00000000-0010-0000-0A00-000010000000}" name="Liste DEU" dataDxfId="37" totalsRowDxfId="36">
      <calculatedColumnFormula>IF(tabB_Artikelliste[[#This Row],[Artikel]]="Eck",CONCATENATE($Z2,IF($AA2&lt;&gt;"",$AA2,0),$AB2,IFERROR(IF(tabB_Artikelliste[[#This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calculatedColumnFormula>
    </tableColumn>
    <tableColumn id="17" xr3:uid="{00000000-0010-0000-0A00-000011000000}" name="Liste ITA" dataDxfId="35" totalsRowDxfId="34">
      <calculatedColumnFormula>IF(tabB_Artikelliste[[#This Row],[Artikel]]="Eck",CONCATENATE($Z2,IF($AA2&lt;&gt;"",$AA2,0),$AB2,IFERROR(IF(tabB_Artikelliste[[#This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calculatedColumnFormula>
    </tableColumn>
    <tableColumn id="18" xr3:uid="{00000000-0010-0000-0A00-000012000000}" name="Liste ENG" dataDxfId="33" totalsRowDxfId="32">
      <calculatedColumnFormula>IF(tabB_Artikelliste[[#This Row],[Artikel]]="Eck",CONCATENATE($Z2,IF($AA2&lt;&gt;"",$AA2,0),$AB2,IFERROR(IF(tabB_Artikelliste[[#This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calculatedColumnFormula>
    </tableColumn>
    <tableColumn id="19" xr3:uid="{00000000-0010-0000-0A00-000013000000}" name="Liste FRA" dataDxfId="31" totalsRowDxfId="30">
      <calculatedColumnFormula>IF(tabB_Artikelliste[[#This Row],[Artikel]]="Eck",CONCATENATE($Z2,IF($AA2&lt;&gt;"",$AA2,0),$AB2,IFERROR(IF(tabB_Artikelliste[[#This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tabB_Extra" displayName="tabB_Extra" ref="Z18:AD23" totalsRowShown="0">
  <autoFilter ref="Z18:AD23" xr:uid="{00000000-0009-0000-0100-000012000000}"/>
  <tableColumns count="5">
    <tableColumn id="1" xr3:uid="{00000000-0010-0000-0B00-000001000000}" name="-">
      <calculatedColumnFormula>" - "</calculatedColumnFormula>
    </tableColumn>
    <tableColumn id="2" xr3:uid="{00000000-0010-0000-0B00-000002000000}" name="Menge" dataDxfId="29">
      <calculatedColumnFormula>IFERROR(INDEX(tabExtraBearbeitung[n],ROW(A1)),0)</calculatedColumnFormula>
    </tableColumn>
    <tableColumn id="3" xr3:uid="{00000000-0010-0000-0B00-000003000000}" name="x">
      <calculatedColumnFormula>"x "</calculatedColumnFormula>
    </tableColumn>
    <tableColumn id="4" xr3:uid="{00000000-0010-0000-0B00-000004000000}" name="Artikel" dataDxfId="28">
      <calculatedColumnFormula>IFERROR(INDEX(tabExtraBearbeitung[Spalte1],ROW(A1)),0)</calculatedColumnFormula>
    </tableColumn>
    <tableColumn id="5" xr3:uid="{00000000-0010-0000-0B00-000005000000}" name="Liste" dataDxfId="27">
      <calculatedColumnFormula>CONCATENATE($Z19,IF($AC19&lt;&gt;"",$AC19,0),CHAR(10))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C000000}" name="tabB_Übersetzungen" displayName="tabB_Übersetzungen" ref="Z25:AD38" totalsRowShown="0">
  <autoFilter ref="Z25:AD38" xr:uid="{00000000-0009-0000-0100-000014000000}"/>
  <tableColumns count="5">
    <tableColumn id="1" xr3:uid="{00000000-0010-0000-0C00-000001000000}" name="Eingabe"/>
    <tableColumn id="2" xr3:uid="{00000000-0010-0000-0C00-000002000000}" name="DEU"/>
    <tableColumn id="3" xr3:uid="{00000000-0010-0000-0C00-000003000000}" name="ITA"/>
    <tableColumn id="4" xr3:uid="{00000000-0010-0000-0C00-000004000000}" name="ENG"/>
    <tableColumn id="5" xr3:uid="{00000000-0010-0000-0C00-000005000000}" name="FR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D000000}" name="tabB_WPS" displayName="tabB_WPS" ref="R1:T40" totalsRowCount="1">
  <autoFilter ref="R1:T39" xr:uid="{00000000-0009-0000-0100-000016000000}"/>
  <tableColumns count="3">
    <tableColumn id="1" xr3:uid="{00000000-0010-0000-0D00-000001000000}" name="Østeher" totalsRowLabel="Ergebnis"/>
    <tableColumn id="2" xr3:uid="{00000000-0010-0000-0D00-000002000000}" name="Material"/>
    <tableColumn id="3" xr3:uid="{00000000-0010-0000-0D00-000003000000}" name="WPS" totalsRowFunction="custom">
      <totalsRowFormula array="1">IF(SUM(tabB_Artikelliste[Schweißen])&gt;0,INDEX(tabB_WPS[WPS],MATCH(Eingabe.DurchmesserStärke&amp;Eingabe.Material,tabB_WPS[Østeher]&amp;tabB_WPS[Material],0)),"")</totalsRow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E_Kundenart" displayName="tabE_Kundenart" ref="F1:F3" totalsRowShown="0">
  <autoFilter ref="F1:F3" xr:uid="{00000000-0009-0000-0100-000003000000}"/>
  <tableColumns count="1">
    <tableColumn id="1" xr3:uid="{00000000-0010-0000-0E00-000001000000}" name="Kundenart" dataDxfId="26">
      <calculatedColumnFormula>INDEX(tabE_ÜbersetzungKundenart[],ROW()-ROW(tabE_Kundenart[[#Headers],[Kundenart]]),MATCH(Sprache.Interface,Filter.Sprache,0))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F000000}" name="tabE_ÜbersetzungKundenart" displayName="tabE_ÜbersetzungKundenart" ref="AA40:AD42" totalsRowShown="0">
  <autoFilter ref="AA40:AD42" xr:uid="{00000000-0009-0000-0100-000002000000}"/>
  <tableColumns count="4">
    <tableColumn id="1" xr3:uid="{00000000-0010-0000-0F00-000001000000}" name="DEU"/>
    <tableColumn id="2" xr3:uid="{00000000-0010-0000-0F00-000002000000}" name="ITA"/>
    <tableColumn id="3" xr3:uid="{00000000-0010-0000-0F00-000003000000}" name="ENG"/>
    <tableColumn id="4" xr3:uid="{00000000-0010-0000-0F00-000004000000}" name="FR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0000000}" name="tabE_ÜbersetzungOberfläche" displayName="tabE_ÜbersetzungOberfläche" ref="AA44:AD48" totalsRowShown="0">
  <autoFilter ref="AA44:AD48" xr:uid="{00000000-0009-0000-0100-000004000000}"/>
  <tableColumns count="4">
    <tableColumn id="1" xr3:uid="{00000000-0010-0000-1000-000001000000}" name="DEU"/>
    <tableColumn id="2" xr3:uid="{00000000-0010-0000-1000-000002000000}" name="ITA"/>
    <tableColumn id="3" xr3:uid="{00000000-0010-0000-1000-000003000000}" name="ENG"/>
    <tableColumn id="4" xr3:uid="{00000000-0010-0000-1000-000004000000}" name="FRA" dataDxfId="25">
      <calculatedColumnFormula>"brossé GR240"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tabE_KundenNat" displayName="tabE_KundenNat" ref="C1:D5" totalsRowShown="0">
  <autoFilter ref="C1:D5" xr:uid="{00000000-0009-0000-0100-000015000000}"/>
  <tableColumns count="2">
    <tableColumn id="1" xr3:uid="{00000000-0010-0000-1100-000001000000}" name="KundenNat"/>
    <tableColumn id="2" xr3:uid="{00000000-0010-0000-1100-000002000000}" name="KundenSkont" dataDxfId="24">
      <calculatedColumnFormula>1.4/0.55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2000000}" name="tabB_ÜbersetzungBeschreibung" displayName="tabB_ÜbersetzungBeschreibung" ref="AQ1:AU61" totalsRowShown="0">
  <autoFilter ref="AQ1:AU61" xr:uid="{00000000-0009-0000-0100-000017000000}"/>
  <sortState xmlns:xlrd2="http://schemas.microsoft.com/office/spreadsheetml/2017/richdata2" ref="AQ2:AU64">
    <sortCondition ref="AQ1:AQ110"/>
  </sortState>
  <tableColumns count="5">
    <tableColumn id="5" xr3:uid="{00000000-0010-0000-1200-000005000000}" name="Eingabe"/>
    <tableColumn id="1" xr3:uid="{00000000-0010-0000-1200-000001000000}" name="DEU"/>
    <tableColumn id="2" xr3:uid="{00000000-0010-0000-1200-000002000000}" name="ITA"/>
    <tableColumn id="3" xr3:uid="{00000000-0010-0000-1200-000003000000}" name="ENG" dataDxfId="23"/>
    <tableColumn id="4" xr3:uid="{00000000-0010-0000-1200-000004000000}" name="FR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3000000}" name="tabE_Ausrichtung" displayName="tabE_Ausrichtung" ref="N1:N8" totalsRowShown="0">
  <autoFilter ref="N1:N8" xr:uid="{00000000-0009-0000-0100-000018000000}"/>
  <tableColumns count="1">
    <tableColumn id="1" xr3:uid="{00000000-0010-0000-1300-000001000000}" name="Ausrichtung" dataDxfId="22">
      <calculatedColumnFormula>INDEX(tabE_ÜbersetzungAusrichtung[],ROW()-ROW(tabE_Ausrichtung[[#Headers],[Ausrichtung]]),MATCH(Sprache.Interface,Filter.Sprache,0))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4000000}" name="tabE_Nummer" displayName="tabE_Nummer" ref="P1:P28" totalsRowShown="0">
  <autoFilter ref="P1:P28" xr:uid="{00000000-0009-0000-0100-000019000000}"/>
  <tableColumns count="1">
    <tableColumn id="1" xr3:uid="{00000000-0010-0000-1400-000001000000}" name="Nummer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AD931B4-5616-42AD-831F-CB5295D6597A}" name="tabE_ÜbersetzungAusrichtung" displayName="tabE_ÜbersetzungAusrichtung" ref="AA50:AD57" totalsRowShown="0">
  <autoFilter ref="AA50:AD57" xr:uid="{AAD931B4-5616-42AD-831F-CB5295D6597A}"/>
  <tableColumns count="4">
    <tableColumn id="1" xr3:uid="{68205937-FC96-4BFA-946F-275877022FF1}" name="DEU"/>
    <tableColumn id="2" xr3:uid="{974CCB85-C9D9-48A8-AFB0-2D04E9EB7DE7}" name="ITA"/>
    <tableColumn id="3" xr3:uid="{49F89E5A-991D-4C43-A0A4-7C31EB05A1E9}" name="ENG"/>
    <tableColumn id="4" xr3:uid="{AD7A0205-34EF-4CA2-9233-6498FBA857F8}" name="FR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5000000}" name="tabSource" displayName="tabSource" ref="A1:T1921" tableType="queryTable" totalsRowShown="0">
  <autoFilter ref="A1:T1921" xr:uid="{00000000-0009-0000-0100-000001000000}"/>
  <tableColumns count="20">
    <tableColumn id="47" xr3:uid="{00000000-0010-0000-1500-00002F000000}" uniqueName="47" name="Rohr" queryTableFieldId="47" dataDxfId="19">
      <calculatedColumnFormula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calculatedColumnFormula>
    </tableColumn>
    <tableColumn id="48" xr3:uid="{00000000-0010-0000-1500-000030000000}" uniqueName="48" name="Liste" queryTableFieldId="46" dataDxfId="18">
      <calculatedColumnFormula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calculatedColumnFormula>
    </tableColumn>
    <tableColumn id="49" xr3:uid="{00000000-0010-0000-1500-000031000000}" uniqueName="49" name="Artikel" queryTableFieldId="48" dataDxfId="17">
      <calculatedColumnFormula>SUBSTITUTE(SUBSTITUTE(tabSource[[#This Row],[ID]],"&lt;",""),"&gt;","")</calculatedColumnFormula>
    </tableColumn>
    <tableColumn id="1" xr3:uid="{00000000-0010-0000-1500-000001000000}" uniqueName="1" name="ID" queryTableFieldId="1"/>
    <tableColumn id="2" xr3:uid="{00000000-0010-0000-1500-000002000000}" uniqueName="2" name="Material" queryTableFieldId="2"/>
    <tableColumn id="3" xr3:uid="{00000000-0010-0000-1500-000003000000}" uniqueName="3" name="Oberfläche" queryTableFieldId="3"/>
    <tableColumn id="4" xr3:uid="{00000000-0010-0000-1500-000004000000}" uniqueName="4" name="EK" queryTableFieldId="4"/>
    <tableColumn id="5" xr3:uid="{00000000-0010-0000-1500-000005000000}" uniqueName="5" name="Seite" queryTableFieldId="51"/>
    <tableColumn id="6" xr3:uid="{00000000-0010-0000-1500-000006000000}" uniqueName="6" name="Kontext" queryTableFieldId="6"/>
    <tableColumn id="7" xr3:uid="{00000000-0010-0000-1500-000007000000}" uniqueName="7" name="Typ" queryTableFieldId="7"/>
    <tableColumn id="8" xr3:uid="{00000000-0010-0000-1500-000008000000}" uniqueName="8" name="Kurzbeschreibung" queryTableFieldId="8"/>
    <tableColumn id="9" xr3:uid="{00000000-0010-0000-1500-000009000000}" uniqueName="9" name="Durchmesser Rohr" queryTableFieldId="9"/>
    <tableColumn id="10" xr3:uid="{00000000-0010-0000-1500-00000A000000}" uniqueName="10" name="Stärke" queryTableFieldId="10"/>
    <tableColumn id="11" xr3:uid="{00000000-0010-0000-1500-00000B000000}" uniqueName="11" name="Schweißen" queryTableFieldId="11"/>
    <tableColumn id="12" xr3:uid="{00000000-0010-0000-1500-00000C000000}" uniqueName="12" name="Bohren" queryTableFieldId="12"/>
    <tableColumn id="16" xr3:uid="{00000000-0010-0000-1500-000010000000}" uniqueName="16" name="Montage" queryTableFieldId="49"/>
    <tableColumn id="17" xr3:uid="{00000000-0010-0000-1500-000011000000}" uniqueName="17" name="Gewicht" queryTableFieldId="53"/>
    <tableColumn id="13" xr3:uid="{00000000-0010-0000-1500-00000D000000}" uniqueName="13" name="SKP" queryTableFieldId="13"/>
    <tableColumn id="14" xr3:uid="{00000000-0010-0000-1500-00000E000000}" uniqueName="14" name="VK-DE" queryTableFieldId="14"/>
    <tableColumn id="15" xr3:uid="{00000000-0010-0000-1500-00000F000000}" uniqueName="15" name="VK-IT" queryTableFieldId="1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tabS_User" displayName="tabS_User" ref="C1:F23" totalsRowShown="0">
  <autoFilter ref="C1:F23" xr:uid="{00000000-0009-0000-0100-000005000000}"/>
  <tableColumns count="4">
    <tableColumn id="1" xr3:uid="{00000000-0010-0000-1600-000001000000}" name="UserID"/>
    <tableColumn id="2" xr3:uid="{00000000-0010-0000-1600-000002000000}" name="UserName"/>
    <tableColumn id="3" xr3:uid="{00000000-0010-0000-1600-000003000000}" name="UserType"/>
    <tableColumn id="4" xr3:uid="{00000000-0010-0000-1600-000004000000}" name="OutputLang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7000000}" name="tabS_Interface" displayName="tabS_Interface" ref="H1:J40" totalsRowShown="0">
  <autoFilter ref="H1:J40" xr:uid="{00000000-0009-0000-0100-000006000000}"/>
  <sortState xmlns:xlrd2="http://schemas.microsoft.com/office/spreadsheetml/2017/richdata2" ref="H2:J33">
    <sortCondition ref="H1:H33"/>
  </sortState>
  <tableColumns count="3">
    <tableColumn id="1" xr3:uid="{00000000-0010-0000-1700-000001000000}" name="UserID"/>
    <tableColumn id="2" xr3:uid="{00000000-0010-0000-1700-000002000000}" name="InterfaceLang"/>
    <tableColumn id="3" xr3:uid="{00000000-0010-0000-1700-000003000000}" name="Filter" dataDxfId="21">
      <calculatedColumnFormula array="1">IFERROR(INDEX(tabS_Interface[InterfaceLang],SMALL(IF(tabS_Interface[UserID]=Settings.CurUserID,ROW(tabS_Interface[UserID])),ROW(A1))-1),"-")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8000000}" name="tabS_Client" displayName="tabS_Client" ref="L1:N71" totalsRowShown="0">
  <autoFilter ref="L1:N71" xr:uid="{00000000-0009-0000-0100-000010000000}"/>
  <tableColumns count="3">
    <tableColumn id="1" xr3:uid="{00000000-0010-0000-1800-000001000000}" name="UserID"/>
    <tableColumn id="2" xr3:uid="{00000000-0010-0000-1800-000002000000}" name="ClientCountry"/>
    <tableColumn id="3" xr3:uid="{00000000-0010-0000-1800-000003000000}" name="Filter" dataDxfId="20">
      <calculatedColumnFormula array="1">IFERROR(INDEX(tabS_Client[ClientCountry],SMALL(IF(tabS_Client[UserID]=Settings.CurUserID,ROW(tabS_Client[UserID])),ROW(A1))-1),"-")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V49"/>
  <sheetViews>
    <sheetView tabSelected="1" zoomScaleNormal="100" workbookViewId="0">
      <selection activeCell="C3" sqref="C3"/>
    </sheetView>
  </sheetViews>
  <sheetFormatPr baseColWidth="10" defaultColWidth="11.42578125" defaultRowHeight="12" x14ac:dyDescent="0.2"/>
  <cols>
    <col min="1" max="1" width="1.140625" style="15" customWidth="1"/>
    <col min="2" max="3" width="13.7109375" style="15" customWidth="1"/>
    <col min="4" max="5" width="13.7109375" style="15" hidden="1" customWidth="1"/>
    <col min="6" max="7" width="13.7109375" style="15" customWidth="1"/>
    <col min="8" max="9" width="13.7109375" style="15" hidden="1" customWidth="1"/>
    <col min="10" max="10" width="1.140625" style="15" customWidth="1"/>
    <col min="11" max="12" width="13.7109375" style="15" customWidth="1"/>
    <col min="13" max="13" width="1.140625" style="15" customWidth="1"/>
    <col min="14" max="14" width="15.7109375" style="15" customWidth="1"/>
    <col min="15" max="16384" width="11.42578125" style="15"/>
  </cols>
  <sheetData>
    <row r="1" spans="2:22" ht="7.5" customHeight="1" x14ac:dyDescent="0.2"/>
    <row r="2" spans="2:22" ht="12" customHeight="1" x14ac:dyDescent="0.2">
      <c r="B2" s="63" t="str">
        <f>CHOOSE(MATCH(Sprache.Interface,Filter.Sprache,0),"Steher","montante","baluster post")&amp;Settings.FileName</f>
        <v>Steher</v>
      </c>
      <c r="C2" s="63"/>
      <c r="D2" s="69" t="s">
        <v>49</v>
      </c>
      <c r="E2" s="69"/>
      <c r="H2" s="67" t="s">
        <v>6</v>
      </c>
      <c r="I2" s="67"/>
      <c r="K2" s="68" t="str">
        <f>Settings.CurUser</f>
        <v>Default</v>
      </c>
      <c r="L2" s="68"/>
      <c r="M2" s="36"/>
    </row>
    <row r="3" spans="2:22" x14ac:dyDescent="0.2">
      <c r="B3" s="16" t="str">
        <f>CHOOSE(MATCH(Sprache.Interface,Filter.Sprache,0),"Kunde","cliente","client")</f>
        <v>Kunde</v>
      </c>
      <c r="C3" s="6"/>
      <c r="D3" s="17" t="str">
        <f>CHOOSE(MATCH(Sprache.Interface,Filter.Sprache,0),"Zeichnen","disegnare","drawing")</f>
        <v>Zeichnen</v>
      </c>
      <c r="E3" s="7">
        <v>15</v>
      </c>
      <c r="H3" s="18" t="str">
        <f>CHOOSE(MATCH(Sprache.Interface,Filter.Sprache,0),"Stdsatz SKP","tariffa SKP","rate SKP")</f>
        <v>Stdsatz SKP</v>
      </c>
      <c r="I3" s="8">
        <v>40</v>
      </c>
      <c r="M3" s="36"/>
      <c r="N3" s="58"/>
    </row>
    <row r="4" spans="2:22" x14ac:dyDescent="0.2">
      <c r="B4" s="16" t="str">
        <f>CHOOSE(MATCH(Sprache.Interface,Filter.Sprache,0),"Menge Steher","num. mont.","bal. post count")</f>
        <v>Menge Steher</v>
      </c>
      <c r="C4" s="6"/>
      <c r="D4" s="17" t="str">
        <f>CHOOSE(MATCH(Sprache.Interface,Filter.Sprache,0),"zuschneiden","tagliare","cutting")</f>
        <v>zuschneiden</v>
      </c>
      <c r="E4" s="7">
        <v>1.5</v>
      </c>
      <c r="H4" s="18" t="str">
        <f>CHOOSE(MATCH(Sprache.Interface,Filter.Sprache,0),"Stdsatz VKP","tariffa VKP","rate VKP")</f>
        <v>Stdsatz VKP</v>
      </c>
      <c r="I4" s="8">
        <v>50</v>
      </c>
      <c r="K4" s="64" t="str">
        <f>CHOOSE(MATCH(Sprache.Interface,Filter.Sprache,0),"Einstellungen","impostazioni","settings")</f>
        <v>Einstellungen</v>
      </c>
      <c r="L4" s="64"/>
      <c r="M4" s="36"/>
      <c r="N4" s="59"/>
    </row>
    <row r="5" spans="2:22" x14ac:dyDescent="0.2">
      <c r="B5" s="16" t="str">
        <f>CHOOSE(MATCH(Sprache.Interface,Filter.Sprache,0),"Menge Typen","num. tipi","type count")</f>
        <v>Menge Typen</v>
      </c>
      <c r="C5" s="6"/>
      <c r="D5" s="17" t="str">
        <f>CHOOSE(MATCH(Sprache.Interface,Filter.Sprache,0),"Rst. Bohren","prep. forare","drill prep.")</f>
        <v>Rst. Bohren</v>
      </c>
      <c r="E5" s="7">
        <v>8</v>
      </c>
      <c r="H5" s="18" t="s">
        <v>55</v>
      </c>
      <c r="I5" s="9">
        <v>10</v>
      </c>
      <c r="K5" s="45" t="str">
        <f>CHOOSE(MATCH(Sprache.Interface,Filter.Sprache,0),"Sprache Interf.","lingua interf.","interface lang.")</f>
        <v>Sprache Interf.</v>
      </c>
      <c r="L5" s="46" t="s">
        <v>43</v>
      </c>
    </row>
    <row r="6" spans="2:22" x14ac:dyDescent="0.2">
      <c r="B6" s="16" t="str">
        <f>CHOOSE(MATCH(Sprache.Interface,Filter.Sprache,0),"Material","materiale","material")</f>
        <v>Material</v>
      </c>
      <c r="C6" s="6"/>
      <c r="D6" s="17" t="str">
        <f>CHOOSE(MATCH(Sprache.Interface,Filter.Sprache,0),"Bohren","forare","drilling")</f>
        <v>Bohren</v>
      </c>
      <c r="E6" s="7">
        <v>0.5</v>
      </c>
      <c r="H6" s="18" t="str">
        <f>CHOOSE(MATCH(Sprache.Interface,Filter.Sprache,0),"Skonto Rohm.","sconto mat.","material disc.")</f>
        <v>Skonto Rohm.</v>
      </c>
      <c r="I6" s="9">
        <v>10</v>
      </c>
      <c r="K6" s="36"/>
      <c r="N6" s="59"/>
      <c r="O6" s="59"/>
      <c r="P6" s="59"/>
      <c r="Q6" s="59"/>
      <c r="R6" s="59"/>
      <c r="S6" s="59"/>
      <c r="T6" s="59"/>
      <c r="U6" s="59"/>
      <c r="V6" s="59"/>
    </row>
    <row r="7" spans="2:22" x14ac:dyDescent="0.2">
      <c r="B7" s="16" t="str">
        <f>CHOOSE(MATCH(Sprache.Interface,Filter.Sprache,0),"Oberfläche","superfice","surface")</f>
        <v>Oberfläche</v>
      </c>
      <c r="C7" s="6"/>
      <c r="D7" s="17" t="str">
        <f>CHOOSE(MATCH(Sprache.Interface,Filter.Sprache,0),"Rst. Schweißen","prep. saldare","prep. welding")</f>
        <v>Rst. Schweißen</v>
      </c>
      <c r="E7" s="7">
        <v>8</v>
      </c>
      <c r="H7" s="18" t="str">
        <f>CHOOSE(MATCH(Sprache.Interface,Filter.Sprache,0),"Skonto Teile","sconto pezzi","rate pieces")</f>
        <v>Skonto Teile</v>
      </c>
      <c r="I7" s="9">
        <v>45</v>
      </c>
      <c r="K7" s="45" t="str">
        <f>CHOOSE(MATCH(Sprache.Interface,Filter.Sprache,0),"Ausgabe","lingua descriz.","descript. lang.")</f>
        <v>Ausgabe</v>
      </c>
      <c r="L7" s="46" t="s">
        <v>43</v>
      </c>
      <c r="M7" s="36"/>
      <c r="N7" s="59"/>
      <c r="O7" s="59"/>
      <c r="P7" s="59"/>
      <c r="Q7" s="59"/>
      <c r="R7" s="59"/>
      <c r="S7" s="59"/>
      <c r="T7" s="59"/>
      <c r="U7" s="59"/>
      <c r="V7" s="59"/>
    </row>
    <row r="8" spans="2:22" ht="12" customHeight="1" x14ac:dyDescent="0.2">
      <c r="B8" s="16" t="str">
        <f>CHOOSE(MATCH(Sprache.Interface,Filter.Sprache,0),"Ø Steher","Ø montante","Ø baluster post")</f>
        <v>Ø Steher</v>
      </c>
      <c r="C8" s="6"/>
      <c r="D8" s="17" t="str">
        <f>CHOOSE(MATCH(Sprache.Interface,Filter.Sprache,0),"Schweißen","saldare","welding")</f>
        <v>Schweißen</v>
      </c>
      <c r="E8" s="7">
        <v>6</v>
      </c>
      <c r="M8" s="36"/>
      <c r="N8" s="60"/>
    </row>
    <row r="9" spans="2:22" x14ac:dyDescent="0.2">
      <c r="B9" s="16" t="str">
        <f>CHOOSE(MATCH(Sprache.Interface,Filter.Sprache,0),"Länge Steher","lunghez. mont.","bal. post length")</f>
        <v>Länge Steher</v>
      </c>
      <c r="C9" s="6"/>
      <c r="D9" s="17" t="str">
        <f>CHOOSE(MATCH(Sprache.Interface,Filter.Sprache,0),"Polieren","lucidare","polish")</f>
        <v>Polieren</v>
      </c>
      <c r="E9" s="7">
        <v>15</v>
      </c>
      <c r="M9" s="36"/>
    </row>
    <row r="10" spans="2:22" x14ac:dyDescent="0.2">
      <c r="B10" s="16" t="str">
        <f>CHOOSE(MATCH(Sprache.Interface,Filter.Sprache,0),"Ausrichtung","orientamento","orientation")</f>
        <v>Ausrichtung</v>
      </c>
      <c r="C10" s="6"/>
      <c r="K10" s="53"/>
      <c r="L10" s="53"/>
      <c r="M10" s="36"/>
    </row>
    <row r="11" spans="2:22" x14ac:dyDescent="0.2">
      <c r="B11" s="16" t="str">
        <f>CHOOSE(MATCH(Sprache.Interface,Filter.Sprache,0),"Steher Nr.","rif. montante","baluster post nr.")</f>
        <v>Steher Nr.</v>
      </c>
      <c r="C11" s="6"/>
      <c r="K11" s="53"/>
      <c r="L11" s="53"/>
      <c r="M11" s="36"/>
    </row>
    <row r="12" spans="2:22" ht="7.5" customHeight="1" x14ac:dyDescent="0.2"/>
    <row r="13" spans="2:22" x14ac:dyDescent="0.2">
      <c r="B13" s="38" t="s">
        <v>87</v>
      </c>
      <c r="C13" s="19" t="s">
        <v>88</v>
      </c>
      <c r="D13" s="39" t="s">
        <v>9</v>
      </c>
      <c r="E13" s="39" t="s">
        <v>37</v>
      </c>
      <c r="F13" s="39" t="s">
        <v>38</v>
      </c>
      <c r="G13" s="39" t="s">
        <v>39</v>
      </c>
      <c r="H13" s="39" t="s">
        <v>186</v>
      </c>
      <c r="I13" s="39" t="s">
        <v>187</v>
      </c>
    </row>
    <row r="14" spans="2:22" x14ac:dyDescent="0.2">
      <c r="B14" s="20" t="str">
        <f>Steher.Rohr</f>
        <v xml:space="preserve"> </v>
      </c>
      <c r="C14" s="21" t="e">
        <f>1/ROUNDDOWN(6000/Eingabe.Länge,1)</f>
        <v>#DIV/0!</v>
      </c>
      <c r="D14" s="26">
        <f>IFERROR(Rohr.SKP*(100+(Preis.AufschlagEK*Rohr.EK))/100,0)</f>
        <v>0</v>
      </c>
      <c r="E14" s="22" t="e">
        <f>tabRohr[[#This Row],[SKP]]*tabRohr[[#This Row],[n]]</f>
        <v>#DIV/0!</v>
      </c>
      <c r="F14" s="22">
        <f>IFERROR(Rohr.Gewicht,0)</f>
        <v>0</v>
      </c>
      <c r="G14" s="22" t="e">
        <f>tabRohr[[#This Row],[Gew.]]*tabRohr[[#This Row],[n]]</f>
        <v>#DIV/0!</v>
      </c>
      <c r="H14" s="47" t="str">
        <f>IFERROR(Rohr.Gewicht,"-")</f>
        <v>-</v>
      </c>
      <c r="I14" s="23"/>
    </row>
    <row r="15" spans="2:22" ht="7.5" customHeight="1" x14ac:dyDescent="0.2"/>
    <row r="16" spans="2:22" x14ac:dyDescent="0.2">
      <c r="B16" s="24" t="s">
        <v>279</v>
      </c>
      <c r="C16" s="24" t="s">
        <v>88</v>
      </c>
      <c r="D16" s="25" t="s">
        <v>9</v>
      </c>
      <c r="E16" s="25" t="s">
        <v>37</v>
      </c>
      <c r="F16" s="25" t="s">
        <v>38</v>
      </c>
      <c r="G16" s="25" t="s">
        <v>39</v>
      </c>
      <c r="H16" s="25" t="s">
        <v>186</v>
      </c>
      <c r="I16" s="25" t="s">
        <v>187</v>
      </c>
    </row>
    <row r="17" spans="2:16" x14ac:dyDescent="0.2">
      <c r="B17" s="10"/>
      <c r="C17" s="11"/>
      <c r="D17" s="26">
        <f>IF(tabArtikelliste[[#This Row],[A]]&lt;&gt;"",Liste.SKP*(100+(Preis.AufschlagEK*Liste.EK))/100,0)</f>
        <v>0</v>
      </c>
      <c r="E17" s="26">
        <f>tabArtikelliste[[#This Row],[SKP]]*tabArtikelliste[[#This Row],[n]]</f>
        <v>0</v>
      </c>
      <c r="F17" s="26">
        <f>IFERROR(Liste.Gewicht,0)</f>
        <v>0</v>
      </c>
      <c r="G17" s="26">
        <f>tabArtikelliste[[#This Row],[Gew.]]*tabArtikelliste[[#This Row],[n]]</f>
        <v>0</v>
      </c>
      <c r="H17" s="50" t="str">
        <f>IFERROR(Liste.Seite,"")</f>
        <v/>
      </c>
      <c r="I17" s="49" t="str">
        <f>IFERROR(Liste.Beschreibung,"")</f>
        <v/>
      </c>
      <c r="N17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17" s="44">
        <f>Liste.Montage</f>
        <v>0</v>
      </c>
      <c r="P17" s="44" t="b">
        <f t="shared" ref="P17:P26" si="0">Liste.FehlerKompatibilität</f>
        <v>1</v>
      </c>
    </row>
    <row r="18" spans="2:16" x14ac:dyDescent="0.2">
      <c r="B18" s="13"/>
      <c r="C18" s="11"/>
      <c r="D18" s="26">
        <f>IF(tabArtikelliste[[#This Row],[A]]&lt;&gt;"",Liste.SKP*(100+(Preis.AufschlagEK*Liste.EK))/100,0)</f>
        <v>0</v>
      </c>
      <c r="E18" s="26">
        <f>tabArtikelliste[[#This Row],[SKP]]*tabArtikelliste[[#This Row],[n]]</f>
        <v>0</v>
      </c>
      <c r="F18" s="26">
        <f>IFERROR(Liste.Gewicht,0)</f>
        <v>0</v>
      </c>
      <c r="G18" s="26">
        <f>tabArtikelliste[[#This Row],[Gew.]]*tabArtikelliste[[#This Row],[n]]</f>
        <v>0</v>
      </c>
      <c r="H18" s="50" t="str">
        <f>IFERROR(Liste.Seite,"")</f>
        <v/>
      </c>
      <c r="I18" s="49" t="str">
        <f>IFERROR(Liste.Beschreibung,"")</f>
        <v/>
      </c>
      <c r="N18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18" s="44">
        <f>Liste.Montage</f>
        <v>0</v>
      </c>
      <c r="P18" s="44" t="b">
        <f t="shared" si="0"/>
        <v>1</v>
      </c>
    </row>
    <row r="19" spans="2:16" x14ac:dyDescent="0.2">
      <c r="B19" s="10"/>
      <c r="C19" s="11"/>
      <c r="D19" s="26">
        <f>IF(tabArtikelliste[[#This Row],[A]]&lt;&gt;"",Liste.SKP*(100+(Preis.AufschlagEK*Liste.EK))/100,0)</f>
        <v>0</v>
      </c>
      <c r="E19" s="26">
        <f>tabArtikelliste[[#This Row],[SKP]]*tabArtikelliste[[#This Row],[n]]</f>
        <v>0</v>
      </c>
      <c r="F19" s="26">
        <f>IFERROR(Liste.Gewicht,0)</f>
        <v>0</v>
      </c>
      <c r="G19" s="26">
        <f>tabArtikelliste[[#This Row],[Gew.]]*tabArtikelliste[[#This Row],[n]]</f>
        <v>0</v>
      </c>
      <c r="H19" s="50" t="str">
        <f>IFERROR(Liste.Seite,"")</f>
        <v/>
      </c>
      <c r="I19" s="49" t="str">
        <f>IFERROR(Liste.Beschreibung,"")</f>
        <v/>
      </c>
      <c r="N19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19" s="44">
        <f>Liste.Montage</f>
        <v>0</v>
      </c>
      <c r="P19" s="44" t="b">
        <f t="shared" si="0"/>
        <v>1</v>
      </c>
    </row>
    <row r="20" spans="2:16" x14ac:dyDescent="0.2">
      <c r="B20" s="13"/>
      <c r="C20" s="11"/>
      <c r="D20" s="26">
        <f>IF(tabArtikelliste[[#This Row],[A]]&lt;&gt;"",Liste.SKP*(100+(Preis.AufschlagEK*Liste.EK))/100,0)</f>
        <v>0</v>
      </c>
      <c r="E20" s="26">
        <f>tabArtikelliste[[#This Row],[SKP]]*tabArtikelliste[[#This Row],[n]]</f>
        <v>0</v>
      </c>
      <c r="F20" s="26">
        <f>IFERROR(Liste.Gewicht,0)</f>
        <v>0</v>
      </c>
      <c r="G20" s="26">
        <f>tabArtikelliste[[#This Row],[Gew.]]*tabArtikelliste[[#This Row],[n]]</f>
        <v>0</v>
      </c>
      <c r="H20" s="50" t="str">
        <f>IFERROR(Liste.Seite,"")</f>
        <v/>
      </c>
      <c r="I20" s="49" t="str">
        <f>IFERROR(Liste.Beschreibung,"")</f>
        <v/>
      </c>
      <c r="N20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0" s="44">
        <f>Liste.Montage</f>
        <v>0</v>
      </c>
      <c r="P20" s="44" t="b">
        <f t="shared" si="0"/>
        <v>1</v>
      </c>
    </row>
    <row r="21" spans="2:16" x14ac:dyDescent="0.2">
      <c r="B21" s="13"/>
      <c r="C21" s="11"/>
      <c r="D21" s="26">
        <f>IF(tabArtikelliste[[#This Row],[A]]&lt;&gt;"",Liste.SKP*(100+(Preis.AufschlagEK*Liste.EK))/100,0)</f>
        <v>0</v>
      </c>
      <c r="E21" s="26">
        <f>tabArtikelliste[[#This Row],[SKP]]*tabArtikelliste[[#This Row],[n]]</f>
        <v>0</v>
      </c>
      <c r="F21" s="26">
        <f>IFERROR(Liste.Gewicht,0)</f>
        <v>0</v>
      </c>
      <c r="G21" s="26">
        <f>tabArtikelliste[[#This Row],[Gew.]]*tabArtikelliste[[#This Row],[n]]</f>
        <v>0</v>
      </c>
      <c r="H21" s="50" t="str">
        <f>IFERROR(Liste.Seite,"")</f>
        <v/>
      </c>
      <c r="I21" s="49" t="str">
        <f>IFERROR(Liste.Beschreibung,"")</f>
        <v/>
      </c>
      <c r="N21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1" s="44">
        <f>Liste.Montage</f>
        <v>0</v>
      </c>
      <c r="P21" s="44" t="b">
        <f t="shared" si="0"/>
        <v>1</v>
      </c>
    </row>
    <row r="22" spans="2:16" x14ac:dyDescent="0.2">
      <c r="B22" s="13"/>
      <c r="C22" s="11"/>
      <c r="D22" s="26">
        <f>IF(tabArtikelliste[[#This Row],[A]]&lt;&gt;"",Liste.SKP*(100+(Preis.AufschlagEK*Liste.EK))/100,0)</f>
        <v>0</v>
      </c>
      <c r="E22" s="26">
        <f>tabArtikelliste[[#This Row],[SKP]]*tabArtikelliste[[#This Row],[n]]</f>
        <v>0</v>
      </c>
      <c r="F22" s="26">
        <f>IFERROR(Liste.Gewicht,0)</f>
        <v>0</v>
      </c>
      <c r="G22" s="26">
        <f>tabArtikelliste[[#This Row],[Gew.]]*tabArtikelliste[[#This Row],[n]]</f>
        <v>0</v>
      </c>
      <c r="H22" s="50" t="str">
        <f>IFERROR(Liste.Seite,"")</f>
        <v/>
      </c>
      <c r="I22" s="49" t="str">
        <f>IFERROR(Liste.Beschreibung,"")</f>
        <v/>
      </c>
      <c r="N22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2" s="44">
        <f>Liste.Montage</f>
        <v>0</v>
      </c>
      <c r="P22" s="44" t="b">
        <f t="shared" si="0"/>
        <v>1</v>
      </c>
    </row>
    <row r="23" spans="2:16" x14ac:dyDescent="0.2">
      <c r="B23" s="13"/>
      <c r="C23" s="11"/>
      <c r="D23" s="26">
        <f>IF(tabArtikelliste[[#This Row],[A]]&lt;&gt;"",Liste.SKP*(100+(Preis.AufschlagEK*Liste.EK))/100,0)</f>
        <v>0</v>
      </c>
      <c r="E23" s="26">
        <f>tabArtikelliste[[#This Row],[SKP]]*tabArtikelliste[[#This Row],[n]]</f>
        <v>0</v>
      </c>
      <c r="F23" s="26">
        <f>IFERROR(Liste.Gewicht,0)</f>
        <v>0</v>
      </c>
      <c r="G23" s="26">
        <f>tabArtikelliste[[#This Row],[Gew.]]*tabArtikelliste[[#This Row],[n]]</f>
        <v>0</v>
      </c>
      <c r="H23" s="50" t="str">
        <f>IFERROR(Liste.Seite,"")</f>
        <v/>
      </c>
      <c r="I23" s="49" t="str">
        <f>IFERROR(Liste.Beschreibung,"")</f>
        <v/>
      </c>
      <c r="N23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3" s="44">
        <f>Liste.Montage</f>
        <v>0</v>
      </c>
      <c r="P23" s="44" t="b">
        <f t="shared" si="0"/>
        <v>1</v>
      </c>
    </row>
    <row r="24" spans="2:16" x14ac:dyDescent="0.2">
      <c r="B24" s="13"/>
      <c r="C24" s="11"/>
      <c r="D24" s="26">
        <f>IF(tabArtikelliste[[#This Row],[A]]&lt;&gt;"",Liste.SKP*(100+(Preis.AufschlagEK*Liste.EK))/100,0)</f>
        <v>0</v>
      </c>
      <c r="E24" s="26">
        <f>tabArtikelliste[[#This Row],[SKP]]*tabArtikelliste[[#This Row],[n]]</f>
        <v>0</v>
      </c>
      <c r="F24" s="26">
        <f>IFERROR(Liste.Gewicht,0)</f>
        <v>0</v>
      </c>
      <c r="G24" s="26">
        <f>tabArtikelliste[[#This Row],[Gew.]]*tabArtikelliste[[#This Row],[n]]</f>
        <v>0</v>
      </c>
      <c r="H24" s="50" t="str">
        <f>IFERROR(Liste.Seite,"")</f>
        <v/>
      </c>
      <c r="I24" s="49" t="str">
        <f>IFERROR(Liste.Beschreibung,"")</f>
        <v/>
      </c>
      <c r="N24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4" s="44">
        <f>Liste.Montage</f>
        <v>0</v>
      </c>
      <c r="P24" s="44" t="b">
        <f t="shared" si="0"/>
        <v>1</v>
      </c>
    </row>
    <row r="25" spans="2:16" x14ac:dyDescent="0.2">
      <c r="B25" s="13"/>
      <c r="C25" s="11"/>
      <c r="D25" s="26">
        <f>IF(tabArtikelliste[[#This Row],[A]]&lt;&gt;"",Liste.SKP*(100+(Preis.AufschlagEK*Liste.EK))/100,0)</f>
        <v>0</v>
      </c>
      <c r="E25" s="26">
        <f>tabArtikelliste[[#This Row],[SKP]]*tabArtikelliste[[#This Row],[n]]</f>
        <v>0</v>
      </c>
      <c r="F25" s="26">
        <f>IFERROR(Liste.Gewicht,0)</f>
        <v>0</v>
      </c>
      <c r="G25" s="26">
        <f>tabArtikelliste[[#This Row],[Gew.]]*tabArtikelliste[[#This Row],[n]]</f>
        <v>0</v>
      </c>
      <c r="H25" s="50" t="str">
        <f>IFERROR(Liste.Seite,"")</f>
        <v/>
      </c>
      <c r="I25" s="49" t="str">
        <f>IFERROR(Liste.Beschreibung,"")</f>
        <v/>
      </c>
      <c r="N25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5" s="44">
        <f>Liste.Montage</f>
        <v>0</v>
      </c>
      <c r="P25" s="44" t="b">
        <f t="shared" si="0"/>
        <v>1</v>
      </c>
    </row>
    <row r="26" spans="2:16" x14ac:dyDescent="0.2">
      <c r="B26" s="13"/>
      <c r="C26" s="11"/>
      <c r="D26" s="26">
        <f>IF(tabArtikelliste[[#This Row],[A]]&lt;&gt;"",Liste.SKP*(100+(Preis.AufschlagEK*Liste.EK))/100,0)</f>
        <v>0</v>
      </c>
      <c r="E26" s="26">
        <f>tabArtikelliste[[#This Row],[SKP]]*tabArtikelliste[[#This Row],[n]]</f>
        <v>0</v>
      </c>
      <c r="F26" s="26">
        <f>IFERROR(Liste.Gewicht,0)</f>
        <v>0</v>
      </c>
      <c r="G26" s="26">
        <f>tabArtikelliste[[#This Row],[Gew.]]*tabArtikelliste[[#This Row],[n]]</f>
        <v>0</v>
      </c>
      <c r="H26" s="50" t="str">
        <f>IFERROR(Liste.Seite,"")</f>
        <v/>
      </c>
      <c r="I26" s="49" t="str">
        <f>IFERROR(Liste.Beschreibung,"")</f>
        <v/>
      </c>
      <c r="N26" s="15" t="str">
        <f>IF(tabArtikelliste[[#This Row],[A]]&lt;&gt;"",IF(Liste.FehlerVKP,CHOOSE(MATCH(Sprache.Interface,Filter.Sprache,0),"kein Preis gefunden","prezzo non trovato","no price found"),IF(Liste.FehlerKompatibilität,CHOOSE(MATCH(Sprache.Interface,Filter.Sprache,0),"Art. nicht kompatibel","art. non compatibile","art. not compatible"),"")),"")</f>
        <v/>
      </c>
      <c r="O26" s="44">
        <f>Liste.Montage</f>
        <v>0</v>
      </c>
      <c r="P26" s="44" t="b">
        <f t="shared" si="0"/>
        <v>1</v>
      </c>
    </row>
    <row r="27" spans="2:16" ht="7.5" hidden="1" customHeight="1" x14ac:dyDescent="0.2">
      <c r="B27" s="28"/>
      <c r="C27" s="28"/>
      <c r="D27" s="28"/>
      <c r="E27" s="28"/>
      <c r="F27" s="28"/>
      <c r="G27" s="28"/>
      <c r="H27" s="28"/>
      <c r="I27" s="28"/>
    </row>
    <row r="28" spans="2:16" hidden="1" x14ac:dyDescent="0.2">
      <c r="B28" s="29" t="s">
        <v>435</v>
      </c>
      <c r="C28" s="30" t="s">
        <v>88</v>
      </c>
      <c r="D28" s="30" t="s">
        <v>9</v>
      </c>
      <c r="E28" s="30" t="s">
        <v>37</v>
      </c>
      <c r="F28" s="30" t="s">
        <v>38</v>
      </c>
      <c r="G28" s="30" t="s">
        <v>39</v>
      </c>
      <c r="H28" s="55"/>
      <c r="I28" s="55"/>
    </row>
    <row r="29" spans="2:16" hidden="1" x14ac:dyDescent="0.2">
      <c r="B29" s="13"/>
      <c r="C29" s="14"/>
      <c r="D29" s="26">
        <f>Preis.SatzSKP/60</f>
        <v>0.66666666666666663</v>
      </c>
      <c r="E29" s="26">
        <f>tabExtraBearbeitung[[#This Row],[SKP]]*tabExtraBearbeitung[[#This Row],[n]]</f>
        <v>0</v>
      </c>
      <c r="F29" s="26"/>
      <c r="G29" s="26">
        <f>tabExtraBearbeitung[[#This Row],[Gew.]]*tabExtraBearbeitung[[#This Row],[n]]</f>
        <v>0</v>
      </c>
      <c r="H29" s="56"/>
      <c r="I29" s="57"/>
    </row>
    <row r="30" spans="2:16" hidden="1" x14ac:dyDescent="0.2">
      <c r="B30" s="13"/>
      <c r="C30" s="14"/>
      <c r="D30" s="26">
        <f>Preis.SatzSKP/60</f>
        <v>0.66666666666666663</v>
      </c>
      <c r="E30" s="26">
        <f>tabExtraBearbeitung[[#This Row],[SKP]]*tabExtraBearbeitung[[#This Row],[n]]</f>
        <v>0</v>
      </c>
      <c r="F30" s="26"/>
      <c r="G30" s="26">
        <f>tabExtraBearbeitung[[#This Row],[Gew.]]*tabExtraBearbeitung[[#This Row],[n]]</f>
        <v>0</v>
      </c>
      <c r="H30" s="56"/>
      <c r="I30" s="57"/>
    </row>
    <row r="31" spans="2:16" hidden="1" x14ac:dyDescent="0.2">
      <c r="B31" s="13"/>
      <c r="C31" s="14"/>
      <c r="D31" s="26">
        <f>Preis.SatzSKP/60</f>
        <v>0.66666666666666663</v>
      </c>
      <c r="E31" s="26">
        <f>tabExtraBearbeitung[[#This Row],[SKP]]*tabExtraBearbeitung[[#This Row],[n]]</f>
        <v>0</v>
      </c>
      <c r="F31" s="26"/>
      <c r="G31" s="26">
        <f>tabExtraBearbeitung[[#This Row],[Gew.]]*tabExtraBearbeitung[[#This Row],[n]]</f>
        <v>0</v>
      </c>
      <c r="H31" s="56"/>
      <c r="I31" s="57"/>
    </row>
    <row r="32" spans="2:16" hidden="1" x14ac:dyDescent="0.2">
      <c r="B32" s="13"/>
      <c r="C32" s="14"/>
      <c r="D32" s="26">
        <f>Preis.SatzSKP/60</f>
        <v>0.66666666666666663</v>
      </c>
      <c r="E32" s="26">
        <f>tabExtraBearbeitung[[#This Row],[SKP]]*tabExtraBearbeitung[[#This Row],[n]]</f>
        <v>0</v>
      </c>
      <c r="F32" s="26"/>
      <c r="G32" s="26">
        <f>tabExtraBearbeitung[[#This Row],[Gew.]]*tabExtraBearbeitung[[#This Row],[n]]</f>
        <v>0</v>
      </c>
      <c r="H32" s="56"/>
      <c r="I32" s="57"/>
    </row>
    <row r="33" spans="2:12" hidden="1" x14ac:dyDescent="0.2">
      <c r="B33" s="13"/>
      <c r="C33" s="14"/>
      <c r="D33" s="26">
        <f>Preis.SatzSKP/60</f>
        <v>0.66666666666666663</v>
      </c>
      <c r="E33" s="26">
        <f>tabExtraBearbeitung[[#This Row],[SKP]]*tabExtraBearbeitung[[#This Row],[n]]</f>
        <v>0</v>
      </c>
      <c r="F33" s="26"/>
      <c r="G33" s="26">
        <f>tabExtraBearbeitung[[#This Row],[Gew.]]*tabExtraBearbeitung[[#This Row],[n]]</f>
        <v>0</v>
      </c>
      <c r="H33" s="56"/>
      <c r="I33" s="57"/>
    </row>
    <row r="34" spans="2:12" ht="7.5" hidden="1" customHeight="1" x14ac:dyDescent="0.2">
      <c r="B34" s="28"/>
      <c r="C34" s="28"/>
      <c r="D34" s="28"/>
      <c r="E34" s="28"/>
      <c r="F34" s="28"/>
      <c r="G34" s="28"/>
      <c r="H34" s="28"/>
      <c r="I34" s="28"/>
    </row>
    <row r="35" spans="2:12" hidden="1" x14ac:dyDescent="0.2">
      <c r="B35" s="19" t="s">
        <v>50</v>
      </c>
      <c r="C35" s="19" t="s">
        <v>36</v>
      </c>
      <c r="D35" s="19" t="s">
        <v>9</v>
      </c>
      <c r="E35" s="19" t="s">
        <v>37</v>
      </c>
      <c r="F35" s="19"/>
      <c r="G35" s="19"/>
      <c r="H35" s="19"/>
      <c r="I35" s="19"/>
    </row>
    <row r="36" spans="2:12" hidden="1" x14ac:dyDescent="0.2">
      <c r="B36" s="20" t="s">
        <v>40</v>
      </c>
      <c r="C36" s="31">
        <f>Zeit.Zuschneiden</f>
        <v>1.5</v>
      </c>
      <c r="D36" s="26">
        <f t="shared" ref="D36:D43" si="1">Preis.SatzSKP/60</f>
        <v>0.66666666666666663</v>
      </c>
      <c r="E36" s="26">
        <f>tabBearbeitung[[#This Row],[SKP]]*tabBearbeitung[[#This Row],[Menge]]</f>
        <v>1</v>
      </c>
      <c r="F36" s="26"/>
      <c r="G36" s="26"/>
      <c r="H36" s="12"/>
      <c r="I36" s="27"/>
    </row>
    <row r="37" spans="2:12" hidden="1" x14ac:dyDescent="0.2">
      <c r="B37" s="20" t="s">
        <v>65</v>
      </c>
      <c r="C37" s="31">
        <f>MAX(Zeit.Bohren*Liste.Bohrungen,1.5)</f>
        <v>1.5</v>
      </c>
      <c r="D37" s="26">
        <f t="shared" si="1"/>
        <v>0.66666666666666663</v>
      </c>
      <c r="E37" s="26">
        <f>tabBearbeitung[[#This Row],[SKP]]*tabBearbeitung[[#This Row],[Menge]]</f>
        <v>1</v>
      </c>
      <c r="F37" s="26"/>
      <c r="G37" s="26"/>
      <c r="H37" s="12"/>
      <c r="I37" s="27"/>
    </row>
    <row r="38" spans="2:12" hidden="1" x14ac:dyDescent="0.2">
      <c r="B38" s="20" t="s">
        <v>5</v>
      </c>
      <c r="C38" s="31">
        <f>Totale.Montage</f>
        <v>0</v>
      </c>
      <c r="D38" s="26">
        <f t="shared" si="1"/>
        <v>0.66666666666666663</v>
      </c>
      <c r="E38" s="26">
        <f>tabBearbeitung[[#This Row],[SKP]]*tabBearbeitung[[#This Row],[Menge]]</f>
        <v>0</v>
      </c>
      <c r="F38" s="26"/>
      <c r="G38" s="26"/>
      <c r="H38" s="12"/>
      <c r="I38" s="27"/>
    </row>
    <row r="39" spans="2:12" hidden="1" x14ac:dyDescent="0.2">
      <c r="B39" s="20" t="s">
        <v>3</v>
      </c>
      <c r="C39" s="31">
        <f>Zeit.Schweißen*Liste.Schweißen</f>
        <v>0</v>
      </c>
      <c r="D39" s="26">
        <f t="shared" si="1"/>
        <v>0.66666666666666663</v>
      </c>
      <c r="E39" s="26">
        <f>tabBearbeitung[[#This Row],[SKP]]*tabBearbeitung[[#This Row],[Menge]]</f>
        <v>0</v>
      </c>
      <c r="F39" s="26"/>
      <c r="G39" s="26"/>
      <c r="H39" s="12"/>
      <c r="I39" s="27"/>
    </row>
    <row r="40" spans="2:12" hidden="1" x14ac:dyDescent="0.2">
      <c r="B40" s="20" t="s">
        <v>4</v>
      </c>
      <c r="C40" s="31" t="e">
        <f>Zeit.Polieren*(Steher.Oberfläche="poliert")</f>
        <v>#N/A</v>
      </c>
      <c r="D40" s="26">
        <f t="shared" si="1"/>
        <v>0.66666666666666663</v>
      </c>
      <c r="E40" s="26" t="e">
        <f>tabBearbeitung[[#This Row],[SKP]]*tabBearbeitung[[#This Row],[Menge]]</f>
        <v>#N/A</v>
      </c>
      <c r="F40" s="26"/>
      <c r="G40" s="26"/>
      <c r="H40" s="12"/>
      <c r="I40" s="27"/>
    </row>
    <row r="41" spans="2:12" hidden="1" x14ac:dyDescent="0.2">
      <c r="B41" s="20" t="s">
        <v>2</v>
      </c>
      <c r="C41" s="31" t="e">
        <f>Zeit.Zeichnen*Eingabe.Typen/Eingabe.Menge</f>
        <v>#DIV/0!</v>
      </c>
      <c r="D41" s="26">
        <f t="shared" si="1"/>
        <v>0.66666666666666663</v>
      </c>
      <c r="E41" s="26" t="e">
        <f>tabBearbeitung[[#This Row],[SKP]]*tabBearbeitung[[#This Row],[Menge]]</f>
        <v>#DIV/0!</v>
      </c>
      <c r="F41" s="26"/>
      <c r="G41" s="26"/>
      <c r="H41" s="12"/>
      <c r="I41" s="27"/>
    </row>
    <row r="42" spans="2:12" hidden="1" x14ac:dyDescent="0.2">
      <c r="B42" s="20" t="s">
        <v>41</v>
      </c>
      <c r="C42" s="31" t="e">
        <f>Zeit.BohrenRst*Eingabe.Typen/Eingabe.Menge*SIGN(Liste.Bohrungen)</f>
        <v>#DIV/0!</v>
      </c>
      <c r="D42" s="26">
        <f t="shared" si="1"/>
        <v>0.66666666666666663</v>
      </c>
      <c r="E42" s="26" t="e">
        <f>tabBearbeitung[[#This Row],[SKP]]*tabBearbeitung[[#This Row],[Menge]]</f>
        <v>#DIV/0!</v>
      </c>
      <c r="F42" s="26"/>
      <c r="G42" s="26"/>
      <c r="H42" s="12"/>
      <c r="I42" s="27"/>
    </row>
    <row r="43" spans="2:12" hidden="1" x14ac:dyDescent="0.2">
      <c r="B43" s="20" t="s">
        <v>42</v>
      </c>
      <c r="C43" s="31" t="e">
        <f>Zeit.SchweißenRst/Eingabe.Menge*SIGN(Liste.Schweißen)</f>
        <v>#DIV/0!</v>
      </c>
      <c r="D43" s="26">
        <f t="shared" si="1"/>
        <v>0.66666666666666663</v>
      </c>
      <c r="E43" s="26" t="e">
        <f>tabBearbeitung[[#This Row],[SKP]]*tabBearbeitung[[#This Row],[Menge]]</f>
        <v>#DIV/0!</v>
      </c>
      <c r="F43" s="26"/>
      <c r="G43" s="26"/>
      <c r="H43" s="12"/>
      <c r="I43" s="27"/>
    </row>
    <row r="44" spans="2:12" ht="7.5" customHeight="1" x14ac:dyDescent="0.2"/>
    <row r="45" spans="2:12" x14ac:dyDescent="0.2">
      <c r="F45" s="42" t="s">
        <v>51</v>
      </c>
      <c r="G45" s="43" t="e">
        <f>Totale.VKP</f>
        <v>#REF!</v>
      </c>
      <c r="H45" s="41"/>
      <c r="I45" s="41"/>
      <c r="K45" s="70" t="s">
        <v>351</v>
      </c>
      <c r="L45" s="71"/>
    </row>
    <row r="46" spans="2:12" x14ac:dyDescent="0.2">
      <c r="F46" s="42" t="s">
        <v>63</v>
      </c>
      <c r="G46" s="43" t="e">
        <f>Totale.SkontoRohmaterial</f>
        <v>#DIV/0!</v>
      </c>
      <c r="H46" s="41"/>
      <c r="I46" s="41"/>
      <c r="K46" s="65" t="s">
        <v>438</v>
      </c>
      <c r="L46" s="66"/>
    </row>
    <row r="47" spans="2:12" x14ac:dyDescent="0.2">
      <c r="F47" s="42" t="s">
        <v>64</v>
      </c>
      <c r="G47" s="43">
        <f>Totale.SkontoTeile</f>
        <v>0</v>
      </c>
      <c r="H47" s="41"/>
      <c r="I47" s="41"/>
      <c r="K47" s="65" t="s">
        <v>439</v>
      </c>
      <c r="L47" s="66"/>
    </row>
    <row r="48" spans="2:12" ht="12" customHeight="1" x14ac:dyDescent="0.2">
      <c r="B48" s="32" t="s">
        <v>89</v>
      </c>
      <c r="C48" s="33" t="e">
        <f>Totale.SKP*Preis.AufschlagTotale*Liste.FehlerSKP</f>
        <v>#N/A</v>
      </c>
      <c r="D48" s="52" t="s">
        <v>52</v>
      </c>
      <c r="E48" s="51" t="e">
        <f>Totale.SKP*Liste.FehlerSKP</f>
        <v>#N/A</v>
      </c>
      <c r="F48" s="52" t="s">
        <v>424</v>
      </c>
      <c r="G48" s="54" t="e">
        <f>Totale.Gewicht</f>
        <v>#DIV/0!</v>
      </c>
      <c r="K48" s="61" t="str">
        <f>[1]shtBaseTable!$V$1</f>
        <v>DBVersion: 6.14 | 04.05.2022</v>
      </c>
      <c r="L48" s="62"/>
    </row>
    <row r="49" ht="7.5" customHeight="1" x14ac:dyDescent="0.2"/>
  </sheetData>
  <sheetProtection algorithmName="SHA-512" hashValue="kb5USq27owQmf+tv6x/ntOpQ/QmXYMsc33SP9VHRvo/9vDntsNJSFCIoducd0qP5HTmEWRH/fpdADozAj3LFKA==" saltValue="uUpkLQqRMLVlALkhv3pnAQ==" spinCount="100000" sheet="1" objects="1" scenarios="1" selectLockedCells="1"/>
  <mergeCells count="9">
    <mergeCell ref="K48:L48"/>
    <mergeCell ref="B2:C2"/>
    <mergeCell ref="K4:L4"/>
    <mergeCell ref="K47:L47"/>
    <mergeCell ref="K46:L46"/>
    <mergeCell ref="H2:I2"/>
    <mergeCell ref="K2:L2"/>
    <mergeCell ref="D2:E2"/>
    <mergeCell ref="K45:L45"/>
  </mergeCells>
  <conditionalFormatting sqref="H6:I7">
    <cfRule type="expression" dxfId="16" priority="34">
      <formula>Sprache.Kunde="DEU"</formula>
    </cfRule>
  </conditionalFormatting>
  <conditionalFormatting sqref="B29:I33">
    <cfRule type="expression" dxfId="15" priority="23" stopIfTrue="1">
      <formula>AND($B29="",$C29="")</formula>
    </cfRule>
    <cfRule type="expression" dxfId="14" priority="25">
      <formula>OR($E29=0,$G29=0)</formula>
    </cfRule>
  </conditionalFormatting>
  <conditionalFormatting sqref="B29:G33 B17:G26">
    <cfRule type="expression" dxfId="13" priority="24">
      <formula>B17=0</formula>
    </cfRule>
  </conditionalFormatting>
  <conditionalFormatting sqref="B36:I43">
    <cfRule type="expression" dxfId="12" priority="20" stopIfTrue="1">
      <formula>AND($B36="",$C36="")</formula>
    </cfRule>
    <cfRule type="expression" dxfId="11" priority="21">
      <formula>OR($E36=0,$G36=0)</formula>
    </cfRule>
    <cfRule type="expression" dxfId="10" priority="22">
      <formula>B36=0</formula>
    </cfRule>
  </conditionalFormatting>
  <conditionalFormatting sqref="C4:C5">
    <cfRule type="expression" dxfId="9" priority="5">
      <formula>Fehler.Menge</formula>
    </cfRule>
  </conditionalFormatting>
  <conditionalFormatting sqref="C48">
    <cfRule type="expression" dxfId="8" priority="3">
      <formula>ISERROR($C$48)</formula>
    </cfRule>
  </conditionalFormatting>
  <conditionalFormatting sqref="C3">
    <cfRule type="expression" dxfId="7" priority="2">
      <formula>Fehler.Menge</formula>
    </cfRule>
  </conditionalFormatting>
  <conditionalFormatting sqref="N17:N26 B17:G26">
    <cfRule type="expression" dxfId="6" priority="15" stopIfTrue="1">
      <formula>AND($B17="",$C17="")</formula>
    </cfRule>
    <cfRule type="expression" dxfId="5" priority="27">
      <formula>Liste.FehlerVKP</formula>
    </cfRule>
    <cfRule type="expression" dxfId="4" priority="33">
      <formula>Liste.FehlerKompatibilität</formula>
    </cfRule>
  </conditionalFormatting>
  <conditionalFormatting sqref="B14:G14">
    <cfRule type="expression" dxfId="3" priority="17" stopIfTrue="1">
      <formula>$C14=""</formula>
    </cfRule>
    <cfRule type="expression" dxfId="2" priority="18">
      <formula>B14=0</formula>
    </cfRule>
    <cfRule type="expression" dxfId="1" priority="19">
      <formula>OR($E14=0,$I14=0)</formula>
    </cfRule>
  </conditionalFormatting>
  <conditionalFormatting sqref="G48">
    <cfRule type="expression" dxfId="0" priority="1">
      <formula>Fehler.Gewicht</formula>
    </cfRule>
  </conditionalFormatting>
  <dataValidations count="12">
    <dataValidation type="whole" operator="greaterThanOrEqual" showInputMessage="1" showErrorMessage="1" sqref="C4" xr:uid="{00000000-0002-0000-0000-000000000000}">
      <formula1>1</formula1>
    </dataValidation>
    <dataValidation type="list" showInputMessage="1" showErrorMessage="1" sqref="C6" xr:uid="{00000000-0002-0000-0000-000001000000}">
      <formula1>Filter.Material</formula1>
    </dataValidation>
    <dataValidation type="list" showInputMessage="1" showErrorMessage="1" sqref="C7" xr:uid="{00000000-0002-0000-0000-000002000000}">
      <formula1>Filter.Oberfläche</formula1>
    </dataValidation>
    <dataValidation type="list" showInputMessage="1" showErrorMessage="1" sqref="C8" xr:uid="{00000000-0002-0000-0000-000003000000}">
      <formula1>Filter.Durchmesser</formula1>
    </dataValidation>
    <dataValidation type="decimal" operator="greaterThan" showInputMessage="1" showErrorMessage="1" sqref="E3:E11 I6:I7 I3:I4 C9" xr:uid="{00000000-0002-0000-0000-000004000000}">
      <formula1>0</formula1>
    </dataValidation>
    <dataValidation type="whole" showInputMessage="1" showErrorMessage="1" sqref="C5" xr:uid="{00000000-0002-0000-0000-000005000000}">
      <formula1>1</formula1>
      <formula2>Eingabe.Menge</formula2>
    </dataValidation>
    <dataValidation type="list" showInputMessage="1" showErrorMessage="1" sqref="L7" xr:uid="{00000000-0002-0000-0000-000006000000}">
      <formula1>Filter.Sprache</formula1>
    </dataValidation>
    <dataValidation type="list" showInputMessage="1" showErrorMessage="1" sqref="L5" xr:uid="{00000000-0002-0000-0000-000007000000}">
      <formula1>Filter.SpracheInterface</formula1>
    </dataValidation>
    <dataValidation type="list" showInputMessage="1" showErrorMessage="1" sqref="C3" xr:uid="{00000000-0002-0000-0000-000008000000}">
      <formula1>Filter.Kunde</formula1>
    </dataValidation>
    <dataValidation type="list" allowBlank="1" sqref="B17" xr:uid="{00000000-0002-0000-0000-000009000000}">
      <formula1>Filter.Artikel</formula1>
    </dataValidation>
    <dataValidation type="list" showInputMessage="1" showErrorMessage="1" sqref="C10" xr:uid="{00000000-0002-0000-0000-00000A000000}">
      <formula1>Filter.Ausrichtung</formula1>
    </dataValidation>
    <dataValidation type="list" operator="greaterThan" showInputMessage="1" showErrorMessage="1" sqref="C11" xr:uid="{00000000-0002-0000-0000-00000B000000}">
      <formula1>Filter.Nummer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bNew">
          <controlPr defaultSize="0" autoLin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037" r:id="rId4" name="bNew"/>
      </mc:Fallback>
    </mc:AlternateContent>
    <mc:AlternateContent xmlns:mc="http://schemas.openxmlformats.org/markup-compatibility/2006">
      <mc:Choice Requires="x14">
        <control shapeId="1031" r:id="rId6" name="tbDEU">
          <controlPr defaultSize="0" autoLine="0" autoPict="0" linkedCell="Berechnungstabellen!AG29" r:id="rId7">
            <anchor moveWithCells="1" siz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9525</xdr:colOff>
                <xdr:row>24</xdr:row>
                <xdr:rowOff>0</xdr:rowOff>
              </to>
            </anchor>
          </controlPr>
        </control>
      </mc:Choice>
      <mc:Fallback>
        <control shapeId="1031" r:id="rId6" name="tbDEU"/>
      </mc:Fallback>
    </mc:AlternateContent>
    <mc:AlternateContent xmlns:mc="http://schemas.openxmlformats.org/markup-compatibility/2006">
      <mc:Choice Requires="x14">
        <control shapeId="1034" r:id="rId8" name="bCopy">
          <controlPr defaultSize="0" autoLine="0" r:id="rId9">
            <anchor moveWithCells="1">
              <from>
                <xdr:col>10</xdr:col>
                <xdr:colOff>0</xdr:colOff>
                <xdr:row>24</xdr:row>
                <xdr:rowOff>0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034" r:id="rId8" name="bCopy"/>
      </mc:Fallback>
    </mc:AlternateContent>
    <mc:AlternateContent xmlns:mc="http://schemas.openxmlformats.org/markup-compatibility/2006">
      <mc:Choice Requires="x14">
        <control shapeId="1039" r:id="rId10" name="bLoad">
          <controlPr defaultSize="0" autoLine="0" r:id="rId11">
            <anchor moveWithCells="1">
              <from>
                <xdr:col>2</xdr:col>
                <xdr:colOff>762000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9" r:id="rId10" name="bLoad"/>
      </mc:Fallback>
    </mc:AlternateContent>
    <mc:AlternateContent xmlns:mc="http://schemas.openxmlformats.org/markup-compatibility/2006">
      <mc:Choice Requires="x14">
        <control shapeId="1041" r:id="rId12" name="bSwitchUser">
          <controlPr defaultSize="0" autoLine="0" r:id="rId13">
            <anchor moveWithCells="1">
              <from>
                <xdr:col>11</xdr:col>
                <xdr:colOff>762000</xdr:colOff>
                <xdr:row>1</xdr:row>
                <xdr:rowOff>0</xdr:rowOff>
              </from>
              <to>
                <xdr:col>12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41" r:id="rId12" name="bSwitchUser"/>
      </mc:Fallback>
    </mc:AlternateContent>
  </controls>
  <tableParts count="4">
    <tablePart r:id="rId14"/>
    <tablePart r:id="rId15"/>
    <tablePart r:id="rId16"/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C000000}">
          <x14:formula1>
            <xm:f>Berechnungstabellen!$X$2:$X$501</xm:f>
          </x14:formula1>
          <xm:sqref>B18:B26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AU1001"/>
  <sheetViews>
    <sheetView workbookViewId="0"/>
  </sheetViews>
  <sheetFormatPr baseColWidth="10" defaultRowHeight="15" x14ac:dyDescent="0.25"/>
  <cols>
    <col min="1" max="1" width="13.28515625" customWidth="1"/>
    <col min="2" max="2" width="2.7109375" customWidth="1"/>
    <col min="3" max="4" width="13.28515625" customWidth="1"/>
    <col min="5" max="5" width="2.7109375" customWidth="1"/>
    <col min="6" max="6" width="13.28515625" customWidth="1"/>
    <col min="7" max="7" width="2.7109375" customWidth="1"/>
    <col min="8" max="8" width="13.28515625" customWidth="1"/>
    <col min="9" max="9" width="2.7109375" customWidth="1"/>
    <col min="10" max="10" width="13.28515625" customWidth="1"/>
    <col min="11" max="11" width="2.7109375" customWidth="1"/>
    <col min="12" max="12" width="13.28515625" customWidth="1"/>
    <col min="13" max="13" width="2.7109375" customWidth="1"/>
    <col min="14" max="14" width="13.28515625" customWidth="1"/>
    <col min="15" max="15" width="2.7109375" customWidth="1"/>
    <col min="16" max="16" width="13.28515625" customWidth="1"/>
    <col min="17" max="17" width="2.7109375" customWidth="1"/>
    <col min="18" max="20" width="13.28515625" customWidth="1"/>
    <col min="21" max="21" width="2.7109375" customWidth="1"/>
    <col min="22" max="22" width="13.28515625" customWidth="1"/>
    <col min="23" max="23" width="2.7109375" customWidth="1"/>
    <col min="24" max="24" width="13.28515625" customWidth="1"/>
    <col min="25" max="25" width="2.7109375" customWidth="1"/>
    <col min="26" max="42" width="13.28515625" customWidth="1"/>
    <col min="43" max="44" width="39" bestFit="1" customWidth="1"/>
    <col min="45" max="45" width="28.5703125" bestFit="1" customWidth="1"/>
    <col min="46" max="46" width="28.28515625" bestFit="1" customWidth="1"/>
    <col min="47" max="47" width="39.28515625" bestFit="1" customWidth="1"/>
  </cols>
  <sheetData>
    <row r="1" spans="1:47" x14ac:dyDescent="0.25">
      <c r="A1" t="s">
        <v>44</v>
      </c>
      <c r="C1" t="s">
        <v>125</v>
      </c>
      <c r="D1" t="s">
        <v>134</v>
      </c>
      <c r="F1" t="s">
        <v>90</v>
      </c>
      <c r="H1" t="s">
        <v>0</v>
      </c>
      <c r="J1" t="s">
        <v>1</v>
      </c>
      <c r="L1" t="s">
        <v>13</v>
      </c>
      <c r="N1" t="s">
        <v>272</v>
      </c>
      <c r="P1" t="s">
        <v>293</v>
      </c>
      <c r="R1" s="1" t="s">
        <v>74</v>
      </c>
      <c r="S1" s="1" t="s">
        <v>0</v>
      </c>
      <c r="T1" s="1" t="s">
        <v>66</v>
      </c>
      <c r="V1" t="s">
        <v>12</v>
      </c>
      <c r="X1" t="s">
        <v>8</v>
      </c>
      <c r="Z1" s="2" t="s">
        <v>53</v>
      </c>
      <c r="AA1" s="2" t="s">
        <v>36</v>
      </c>
      <c r="AB1" s="2" t="s">
        <v>47</v>
      </c>
      <c r="AC1" s="2" t="s">
        <v>8</v>
      </c>
      <c r="AD1" s="2" t="s">
        <v>46</v>
      </c>
      <c r="AE1" s="2" t="s">
        <v>54</v>
      </c>
      <c r="AF1" s="2" t="s">
        <v>3</v>
      </c>
      <c r="AG1" t="s">
        <v>263</v>
      </c>
      <c r="AH1" t="s">
        <v>264</v>
      </c>
      <c r="AI1" t="s">
        <v>265</v>
      </c>
      <c r="AJ1" t="s">
        <v>266</v>
      </c>
      <c r="AK1" t="s">
        <v>186</v>
      </c>
      <c r="AL1" t="s">
        <v>267</v>
      </c>
      <c r="AM1" t="s">
        <v>268</v>
      </c>
      <c r="AN1" t="s">
        <v>269</v>
      </c>
      <c r="AO1" t="s">
        <v>270</v>
      </c>
      <c r="AQ1" t="s">
        <v>56</v>
      </c>
      <c r="AR1" t="s">
        <v>43</v>
      </c>
      <c r="AS1" t="s">
        <v>45</v>
      </c>
      <c r="AT1" t="s">
        <v>57</v>
      </c>
      <c r="AU1" t="s">
        <v>121</v>
      </c>
    </row>
    <row r="2" spans="1:47" x14ac:dyDescent="0.25">
      <c r="A2" t="s">
        <v>43</v>
      </c>
      <c r="C2" t="s">
        <v>123</v>
      </c>
      <c r="D2">
        <v>2.545454545454545</v>
      </c>
      <c r="F2" t="str">
        <f>INDEX(tabE_ÜbersetzungKundenart[],ROW()-ROW(tabE_Kundenart[[#Headers],[Kundenart]]),MATCH(Sprache.Interface,Filter.Sprache,0))</f>
        <v>Händler</v>
      </c>
      <c r="H2" t="s">
        <v>14</v>
      </c>
      <c r="J2" t="str">
        <f>INDEX(tabE_ÜbersetzungOberfläche[],ROW()-ROW(tabE_Oberfläche[[#Headers],[Oberfläche]]),MATCH(Sprache.Interface,Filter.Sprache,0))</f>
        <v>240er</v>
      </c>
      <c r="L2" t="s">
        <v>407</v>
      </c>
      <c r="N2" s="35" t="str">
        <f>INDEX(tabE_ÜbersetzungAusrichtung[],ROW()-ROW(tabE_Ausrichtung[[#Headers],[Ausrichtung]]),MATCH(Sprache.Interface,Filter.Sprache,0))</f>
        <v/>
      </c>
      <c r="P2" s="35" t="s">
        <v>48</v>
      </c>
      <c r="R2" s="1" t="s">
        <v>17</v>
      </c>
      <c r="S2" s="1" t="s">
        <v>14</v>
      </c>
      <c r="T2" s="1" t="s">
        <v>67</v>
      </c>
      <c r="V2" t="s">
        <v>10</v>
      </c>
      <c r="X2" t="str">
        <f>IFERROR(INDEX(tabSource[Artikel],SMALL(tabSource[Liste],COUNTIF(tabSource[Liste],"=0")+ROW(A1)-1))," ")</f>
        <v>11865</v>
      </c>
      <c r="Z2" s="3" t="str">
        <f>" - "</f>
        <v xml:space="preserve"> - </v>
      </c>
      <c r="AA2" s="3">
        <f>IFERROR(INDEX(tabArtikelliste[n],ROW(A1)),0)</f>
        <v>0</v>
      </c>
      <c r="AB2" s="3" t="str">
        <f>"x "</f>
        <v xml:space="preserve">x </v>
      </c>
      <c r="AC2" s="3">
        <f>IFERROR(INDEX(tabArtikelliste[A],ROW(A1)),0)</f>
        <v>0</v>
      </c>
      <c r="AD2" s="3" t="str">
        <f>CONCATENATE($Z2,IF($AA2&lt;&gt;"",$AA2,0),$AB2,IF($AC2&lt;&gt;"",$AC2,0),IFERROR(IF(tabB_Artikelliste[[#This Row],[Zus DEU]]="Bohrung","mm",""),""))</f>
        <v xml:space="preserve"> - 0x 0</v>
      </c>
      <c r="AE2" s="3" t="str">
        <f>IFERROR(INDEX(tabSource[Bohren],MATCH("&lt;"&amp;tabB_Artikelliste[[#This Row],[Artikel]]&amp;"&gt;",tabSource[ID],0))*tabB_Artikelliste[[#This Row],[Menge]],"")</f>
        <v/>
      </c>
      <c r="AF2" s="3" t="str">
        <f>IFERROR(INDEX(tabSource[Schweißen],MATCH("&lt;"&amp;tabB_Artikelliste[[#This Row],[Artikel]]&amp;"&gt;",tabSource[ID],0))*tabB_Artikelliste[[#This Row],[Menge]],"")</f>
        <v/>
      </c>
      <c r="AG2" s="48" t="e">
        <f>INDEX(tabB_ÜbersetzungBeschreibung[DEU],MATCH(INDEX(tabArtikelliste[Beschr.],ROW(A1)),tabB_ÜbersetzungBeschreibung[Eingabe],0))</f>
        <v>#N/A</v>
      </c>
      <c r="AH2" s="48" t="e">
        <f>INDEX(tabB_ÜbersetzungBeschreibung[ITA],MATCH(INDEX(tabArtikelliste[Beschr.],ROW(A1)),tabB_ÜbersetzungBeschreibung[Eingabe],0))</f>
        <v>#N/A</v>
      </c>
      <c r="AI2" s="48" t="e">
        <f>INDEX(tabB_ÜbersetzungBeschreibung[ENG],MATCH(INDEX(tabArtikelliste[Beschr.],ROW(A1)),tabB_ÜbersetzungBeschreibung[Eingabe],0))</f>
        <v>#N/A</v>
      </c>
      <c r="AJ2" s="48" t="e">
        <f>INDEX(tabB_ÜbersetzungBeschreibung[FRA],MATCH(INDEX(tabArtikelliste[Beschr.],ROW(A1)),tabB_ÜbersetzungBeschreibung[Eingabe],0))</f>
        <v>#N/A</v>
      </c>
      <c r="AK2" s="48" t="str">
        <f>INDEX(tabArtikelliste[Seite],ROW(A1))</f>
        <v/>
      </c>
      <c r="AL2" s="48" t="str">
        <f>IF(tabB_Artikelliste[[#This Row],[Artikel]]="Eck",CONCATENATE($Z2,IF($AA2&lt;&gt;"",$AA2,0),$AB2,IFERROR(IF(tabB_Artikelliste[[#This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2" s="48" t="str">
        <f>IF(tabB_Artikelliste[[#This Row],[Artikel]]="Eck",CONCATENATE($Z2,IF($AA2&lt;&gt;"",$AA2,0),$AB2,IFERROR(IF(tabB_Artikelliste[[#This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2" s="48" t="str">
        <f>IF(tabB_Artikelliste[[#This Row],[Artikel]]="Eck",CONCATENATE($Z2,IF($AA2&lt;&gt;"",$AA2,0),$AB2,IFERROR(IF(tabB_Artikelliste[[#This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2" s="48" t="str">
        <f>IF(tabB_Artikelliste[[#This Row],[Artikel]]="Eck",CONCATENATE($Z2,IF($AA2&lt;&gt;"",$AA2,0),$AB2,IFERROR(IF(tabB_Artikelliste[[#This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2" t="s">
        <v>53</v>
      </c>
      <c r="AR2" t="s">
        <v>53</v>
      </c>
      <c r="AS2" t="s">
        <v>53</v>
      </c>
      <c r="AT2" t="s">
        <v>53</v>
      </c>
      <c r="AU2" t="s">
        <v>53</v>
      </c>
    </row>
    <row r="3" spans="1:47" x14ac:dyDescent="0.25">
      <c r="A3" t="s">
        <v>45</v>
      </c>
      <c r="C3" t="s">
        <v>122</v>
      </c>
      <c r="D3">
        <v>1.45</v>
      </c>
      <c r="F3" t="str">
        <f>INDEX(tabE_ÜbersetzungKundenart[],ROW()-ROW(tabE_Kundenart[[#Headers],[Kundenart]]),MATCH(Sprache.Interface,Filter.Sprache,0))</f>
        <v>Schmied</v>
      </c>
      <c r="H3" t="s">
        <v>15</v>
      </c>
      <c r="J3" t="str">
        <f>INDEX(tabE_ÜbersetzungOberfläche[],ROW()-ROW(tabE_Oberfläche[[#Headers],[Oberfläche]]),MATCH(Sprache.Interface,Filter.Sprache,0))</f>
        <v>poliert</v>
      </c>
      <c r="L3" t="s">
        <v>17</v>
      </c>
      <c r="N3" t="str">
        <f>INDEX(tabE_ÜbersetzungAusrichtung[],ROW()-ROW(tabE_Ausrichtung[[#Headers],[Ausrichtung]]),MATCH(Sprache.Interface,Filter.Sprache,0))</f>
        <v>Links</v>
      </c>
      <c r="P3" t="s">
        <v>279</v>
      </c>
      <c r="R3" s="1" t="s">
        <v>18</v>
      </c>
      <c r="S3" s="1" t="s">
        <v>14</v>
      </c>
      <c r="T3" s="1" t="s">
        <v>68</v>
      </c>
      <c r="V3" t="s">
        <v>11</v>
      </c>
      <c r="X3" t="str">
        <f>IFERROR(INDEX(tabSource[Artikel],SMALL(tabSource[Liste],COUNTIF(tabSource[Liste],"=0")+ROW(A2)-1))," ")</f>
        <v xml:space="preserve"> </v>
      </c>
      <c r="Z3" s="3" t="str">
        <f t="shared" ref="Z3:Z16" si="0">" - "</f>
        <v xml:space="preserve"> - </v>
      </c>
      <c r="AA3" s="3">
        <f>IFERROR(INDEX(tabArtikelliste[n],ROW(A2)),0)</f>
        <v>0</v>
      </c>
      <c r="AB3" s="3" t="str">
        <f t="shared" ref="AB3:AB16" si="1">"x "</f>
        <v xml:space="preserve">x </v>
      </c>
      <c r="AC3" s="3">
        <f>IFERROR(INDEX(tabArtikelliste[A],ROW(A2)),0)</f>
        <v>0</v>
      </c>
      <c r="AD3" s="3" t="str">
        <f>CONCATENATE($Z3,IF($AA3&lt;&gt;"",$AA3,0),$AB3,IF($AC3&lt;&gt;"",$AC3,0),IFERROR(IF(tabB_Artikelliste[[#This Row],[Zus DEU]]="Bohrung","mm",""),""))</f>
        <v xml:space="preserve"> - 0x 0</v>
      </c>
      <c r="AE3" s="3" t="str">
        <f>IFERROR(INDEX(tabSource[Bohren],MATCH("&lt;"&amp;tabB_Artikelliste[[#This Row],[Artikel]]&amp;"&gt;",tabSource[ID],0))*tabB_Artikelliste[[#This Row],[Menge]],"")</f>
        <v/>
      </c>
      <c r="AF3" s="3" t="str">
        <f>IFERROR(INDEX(tabSource[Schweißen],MATCH("&lt;"&amp;tabB_Artikelliste[[#This Row],[Artikel]]&amp;"&gt;",tabSource[ID],0))*tabB_Artikelliste[[#This Row],[Menge]],"")</f>
        <v/>
      </c>
      <c r="AG3" s="48" t="e">
        <f>INDEX(tabB_ÜbersetzungBeschreibung[DEU],MATCH(INDEX(tabArtikelliste[Beschr.],ROW(A2)),tabB_ÜbersetzungBeschreibung[Eingabe],0))</f>
        <v>#N/A</v>
      </c>
      <c r="AH3" s="48" t="e">
        <f>INDEX(tabB_ÜbersetzungBeschreibung[ITA],MATCH(INDEX(tabArtikelliste[Beschr.],ROW(A2)),tabB_ÜbersetzungBeschreibung[Eingabe],0))</f>
        <v>#N/A</v>
      </c>
      <c r="AI3" s="48" t="e">
        <f>INDEX(tabB_ÜbersetzungBeschreibung[ENG],MATCH(INDEX(tabArtikelliste[Beschr.],ROW(A2)),tabB_ÜbersetzungBeschreibung[Eingabe],0))</f>
        <v>#N/A</v>
      </c>
      <c r="AJ3" s="48" t="e">
        <f>INDEX(tabB_ÜbersetzungBeschreibung[FRA],MATCH(INDEX(tabArtikelliste[Beschr.],ROW(A2)),tabB_ÜbersetzungBeschreibung[Eingabe],0))</f>
        <v>#N/A</v>
      </c>
      <c r="AK3" s="48" t="str">
        <f>INDEX(tabArtikelliste[Seite],ROW(A2))</f>
        <v/>
      </c>
      <c r="AL3" s="48" t="str">
        <f>IF(tabB_Artikelliste[[#This Row],[Artikel]]="Eck",CONCATENATE($Z3,IF($AA3&lt;&gt;"",$AA3,0),$AB3,IFERROR(IF(tabB_Artikelliste[[#This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3" s="48" t="str">
        <f>IF(tabB_Artikelliste[[#This Row],[Artikel]]="Eck",CONCATENATE($Z3,IF($AA3&lt;&gt;"",$AA3,0),$AB3,IFERROR(IF(tabB_Artikelliste[[#This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3" s="48" t="str">
        <f>IF(tabB_Artikelliste[[#This Row],[Artikel]]="Eck",CONCATENATE($Z3,IF($AA3&lt;&gt;"",$AA3,0),$AB3,IFERROR(IF(tabB_Artikelliste[[#This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3" s="48" t="str">
        <f>IF(tabB_Artikelliste[[#This Row],[Artikel]]="Eck",CONCATENATE($Z3,IF($AA3&lt;&gt;"",$AA3,0),$AB3,IFERROR(IF(tabB_Artikelliste[[#This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3" t="s">
        <v>352</v>
      </c>
      <c r="AR3" t="s">
        <v>352</v>
      </c>
      <c r="AS3" t="s">
        <v>372</v>
      </c>
      <c r="AT3" t="s">
        <v>361</v>
      </c>
      <c r="AU3" t="s">
        <v>373</v>
      </c>
    </row>
    <row r="4" spans="1:47" x14ac:dyDescent="0.25">
      <c r="A4" t="s">
        <v>57</v>
      </c>
      <c r="C4" t="s">
        <v>132</v>
      </c>
      <c r="D4">
        <v>1.45</v>
      </c>
      <c r="J4" s="37" t="str">
        <f>INDEX(tabE_ÜbersetzungOberfläche[],ROW()-ROW(tabE_Oberfläche[[#Headers],[Oberfläche]]),MATCH(Sprache.Interface,Filter.Sprache,0))</f>
        <v>nicht nachgeschliffen</v>
      </c>
      <c r="L4" t="s">
        <v>18</v>
      </c>
      <c r="N4" t="str">
        <f>INDEX(tabE_ÜbersetzungAusrichtung[],ROW()-ROW(tabE_Ausrichtung[[#Headers],[Ausrichtung]]),MATCH(Sprache.Interface,Filter.Sprache,0))</f>
        <v>Rechts</v>
      </c>
      <c r="P4" t="s">
        <v>294</v>
      </c>
      <c r="R4" s="1" t="s">
        <v>19</v>
      </c>
      <c r="S4" s="1" t="s">
        <v>14</v>
      </c>
      <c r="T4" s="1" t="s">
        <v>69</v>
      </c>
      <c r="V4" t="s">
        <v>35</v>
      </c>
      <c r="X4" t="str">
        <f>IFERROR(INDEX(tabSource[Artikel],SMALL(tabSource[Liste],COUNTIF(tabSource[Liste],"=0")+ROW(A3)-1))," ")</f>
        <v xml:space="preserve"> </v>
      </c>
      <c r="Z4" s="3" t="str">
        <f t="shared" si="0"/>
        <v xml:space="preserve"> - </v>
      </c>
      <c r="AA4" s="3">
        <f>IFERROR(INDEX(tabArtikelliste[n],ROW(A3)),0)</f>
        <v>0</v>
      </c>
      <c r="AB4" s="3" t="str">
        <f t="shared" si="1"/>
        <v xml:space="preserve">x </v>
      </c>
      <c r="AC4" s="3">
        <f>IFERROR(INDEX(tabArtikelliste[A],ROW(A3)),0)</f>
        <v>0</v>
      </c>
      <c r="AD4" s="3" t="str">
        <f>CONCATENATE($Z4,IF($AA4&lt;&gt;"",$AA4,0),$AB4,IF($AC4&lt;&gt;"",$AC4,0),IFERROR(IF(tabB_Artikelliste[[#This Row],[Zus DEU]]="Bohrung","mm",""),""))</f>
        <v xml:space="preserve"> - 0x 0</v>
      </c>
      <c r="AE4" s="3" t="str">
        <f>IFERROR(INDEX(tabSource[Bohren],MATCH("&lt;"&amp;tabB_Artikelliste[[#This Row],[Artikel]]&amp;"&gt;",tabSource[ID],0))*tabB_Artikelliste[[#This Row],[Menge]],"")</f>
        <v/>
      </c>
      <c r="AF4" s="3" t="str">
        <f>IFERROR(INDEX(tabSource[Schweißen],MATCH("&lt;"&amp;tabB_Artikelliste[[#This Row],[Artikel]]&amp;"&gt;",tabSource[ID],0))*tabB_Artikelliste[[#This Row],[Menge]],"")</f>
        <v/>
      </c>
      <c r="AG4" s="48" t="e">
        <f>INDEX(tabB_ÜbersetzungBeschreibung[DEU],MATCH(INDEX(tabArtikelliste[Beschr.],ROW(A3)),tabB_ÜbersetzungBeschreibung[Eingabe],0))</f>
        <v>#N/A</v>
      </c>
      <c r="AH4" s="48" t="e">
        <f>INDEX(tabB_ÜbersetzungBeschreibung[ITA],MATCH(INDEX(tabArtikelliste[Beschr.],ROW(A3)),tabB_ÜbersetzungBeschreibung[Eingabe],0))</f>
        <v>#N/A</v>
      </c>
      <c r="AI4" s="48" t="e">
        <f>INDEX(tabB_ÜbersetzungBeschreibung[ENG],MATCH(INDEX(tabArtikelliste[Beschr.],ROW(A3)),tabB_ÜbersetzungBeschreibung[Eingabe],0))</f>
        <v>#N/A</v>
      </c>
      <c r="AJ4" s="48" t="e">
        <f>INDEX(tabB_ÜbersetzungBeschreibung[FRA],MATCH(INDEX(tabArtikelliste[Beschr.],ROW(A3)),tabB_ÜbersetzungBeschreibung[Eingabe],0))</f>
        <v>#N/A</v>
      </c>
      <c r="AK4" s="48" t="str">
        <f>INDEX(tabArtikelliste[Seite],ROW(A3))</f>
        <v/>
      </c>
      <c r="AL4" s="48" t="str">
        <f>IF(tabB_Artikelliste[[#This Row],[Artikel]]="Eck",CONCATENATE($Z4,IF($AA4&lt;&gt;"",$AA4,0),$AB4,IFERROR(IF(tabB_Artikelliste[[#This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4" s="48" t="str">
        <f>IF(tabB_Artikelliste[[#This Row],[Artikel]]="Eck",CONCATENATE($Z4,IF($AA4&lt;&gt;"",$AA4,0),$AB4,IFERROR(IF(tabB_Artikelliste[[#This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4" s="48" t="str">
        <f>IF(tabB_Artikelliste[[#This Row],[Artikel]]="Eck",CONCATENATE($Z4,IF($AA4&lt;&gt;"",$AA4,0),$AB4,IFERROR(IF(tabB_Artikelliste[[#This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4" s="48" t="str">
        <f>IF(tabB_Artikelliste[[#This Row],[Artikel]]="Eck",CONCATENATE($Z4,IF($AA4&lt;&gt;"",$AA4,0),$AB4,IFERROR(IF(tabB_Artikelliste[[#This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4" t="s">
        <v>154</v>
      </c>
      <c r="AR4" t="s">
        <v>154</v>
      </c>
      <c r="AS4" t="s">
        <v>188</v>
      </c>
      <c r="AT4" t="s">
        <v>337</v>
      </c>
      <c r="AU4" t="s">
        <v>192</v>
      </c>
    </row>
    <row r="5" spans="1:47" x14ac:dyDescent="0.25">
      <c r="A5" t="s">
        <v>121</v>
      </c>
      <c r="C5" t="s">
        <v>121</v>
      </c>
      <c r="D5">
        <v>1.55</v>
      </c>
      <c r="J5" s="37" t="str">
        <f>INDEX(tabE_ÜbersetzungOberfläche[],ROW()-ROW(tabE_Oberfläche[[#Headers],[Oberfläche]]),MATCH(Sprache.Interface,Filter.Sprache,0))</f>
        <v>nicht nachpoliert</v>
      </c>
      <c r="L5" t="s">
        <v>19</v>
      </c>
      <c r="N5" t="str">
        <f>INDEX(tabE_ÜbersetzungAusrichtung[],ROW()-ROW(tabE_Ausrichtung[[#Headers],[Ausrichtung]]),MATCH(Sprache.Interface,Filter.Sprache,0))</f>
        <v>Mitte</v>
      </c>
      <c r="P5" t="s">
        <v>295</v>
      </c>
      <c r="Q5" s="35"/>
      <c r="R5" s="1" t="s">
        <v>20</v>
      </c>
      <c r="S5" s="1" t="s">
        <v>14</v>
      </c>
      <c r="T5" s="1" t="s">
        <v>48</v>
      </c>
      <c r="X5" t="str">
        <f>IFERROR(INDEX(tabSource[Artikel],SMALL(tabSource[Liste],COUNTIF(tabSource[Liste],"=0")+ROW(A4)-1))," ")</f>
        <v xml:space="preserve"> </v>
      </c>
      <c r="Z5" s="3" t="str">
        <f t="shared" si="0"/>
        <v xml:space="preserve"> - </v>
      </c>
      <c r="AA5" s="3">
        <f>IFERROR(INDEX(tabArtikelliste[n],ROW(A4)),0)</f>
        <v>0</v>
      </c>
      <c r="AB5" s="3" t="str">
        <f t="shared" si="1"/>
        <v xml:space="preserve">x </v>
      </c>
      <c r="AC5" s="3">
        <f>IFERROR(INDEX(tabArtikelliste[A],ROW(A4)),0)</f>
        <v>0</v>
      </c>
      <c r="AD5" s="3" t="str">
        <f>CONCATENATE($Z5,IF($AA5&lt;&gt;"",$AA5,0),$AB5,IF($AC5&lt;&gt;"",$AC5,0),IFERROR(IF(tabB_Artikelliste[[#This Row],[Zus DEU]]="Bohrung","mm",""),""))</f>
        <v xml:space="preserve"> - 0x 0</v>
      </c>
      <c r="AE5" s="3" t="str">
        <f>IFERROR(INDEX(tabSource[Bohren],MATCH("&lt;"&amp;tabB_Artikelliste[[#This Row],[Artikel]]&amp;"&gt;",tabSource[ID],0))*tabB_Artikelliste[[#This Row],[Menge]],"")</f>
        <v/>
      </c>
      <c r="AF5" s="3" t="str">
        <f>IFERROR(INDEX(tabSource[Schweißen],MATCH("&lt;"&amp;tabB_Artikelliste[[#This Row],[Artikel]]&amp;"&gt;",tabSource[ID],0))*tabB_Artikelliste[[#This Row],[Menge]],"")</f>
        <v/>
      </c>
      <c r="AG5" s="48" t="e">
        <f>INDEX(tabB_ÜbersetzungBeschreibung[DEU],MATCH(INDEX(tabArtikelliste[Beschr.],ROW(A4)),tabB_ÜbersetzungBeschreibung[Eingabe],0))</f>
        <v>#N/A</v>
      </c>
      <c r="AH5" s="48" t="e">
        <f>INDEX(tabB_ÜbersetzungBeschreibung[ITA],MATCH(INDEX(tabArtikelliste[Beschr.],ROW(A4)),tabB_ÜbersetzungBeschreibung[Eingabe],0))</f>
        <v>#N/A</v>
      </c>
      <c r="AI5" s="48" t="e">
        <f>INDEX(tabB_ÜbersetzungBeschreibung[ENG],MATCH(INDEX(tabArtikelliste[Beschr.],ROW(A4)),tabB_ÜbersetzungBeschreibung[Eingabe],0))</f>
        <v>#N/A</v>
      </c>
      <c r="AJ5" s="48" t="e">
        <f>INDEX(tabB_ÜbersetzungBeschreibung[FRA],MATCH(INDEX(tabArtikelliste[Beschr.],ROW(A4)),tabB_ÜbersetzungBeschreibung[Eingabe],0))</f>
        <v>#N/A</v>
      </c>
      <c r="AK5" s="48" t="str">
        <f>INDEX(tabArtikelliste[Seite],ROW(A4))</f>
        <v/>
      </c>
      <c r="AL5" s="48" t="str">
        <f>IF(tabB_Artikelliste[[#This Row],[Artikel]]="Eck",CONCATENATE($Z5,IF($AA5&lt;&gt;"",$AA5,0),$AB5,IFERROR(IF(tabB_Artikelliste[[#This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5" s="48" t="str">
        <f>IF(tabB_Artikelliste[[#This Row],[Artikel]]="Eck",CONCATENATE($Z5,IF($AA5&lt;&gt;"",$AA5,0),$AB5,IFERROR(IF(tabB_Artikelliste[[#This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5" s="48" t="str">
        <f>IF(tabB_Artikelliste[[#This Row],[Artikel]]="Eck",CONCATENATE($Z5,IF($AA5&lt;&gt;"",$AA5,0),$AB5,IFERROR(IF(tabB_Artikelliste[[#This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5" s="48" t="str">
        <f>IF(tabB_Artikelliste[[#This Row],[Artikel]]="Eck",CONCATENATE($Z5,IF($AA5&lt;&gt;"",$AA5,0),$AB5,IFERROR(IF(tabB_Artikelliste[[#This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5" t="s">
        <v>161</v>
      </c>
      <c r="AR5" t="s">
        <v>161</v>
      </c>
      <c r="AS5" t="s">
        <v>189</v>
      </c>
      <c r="AT5" t="s">
        <v>193</v>
      </c>
      <c r="AU5" t="s">
        <v>374</v>
      </c>
    </row>
    <row r="6" spans="1:47" x14ac:dyDescent="0.25">
      <c r="L6" t="s">
        <v>32</v>
      </c>
      <c r="N6" t="str">
        <f>INDEX(tabE_ÜbersetzungAusrichtung[],ROW()-ROW(tabE_Ausrichtung[[#Headers],[Ausrichtung]]),MATCH(Sprache.Interface,Filter.Sprache,0))</f>
        <v>Eck</v>
      </c>
      <c r="P6" t="s">
        <v>296</v>
      </c>
      <c r="Q6" s="35"/>
      <c r="R6" s="1" t="s">
        <v>21</v>
      </c>
      <c r="S6" s="1" t="s">
        <v>14</v>
      </c>
      <c r="T6" s="1" t="s">
        <v>48</v>
      </c>
      <c r="X6" t="str">
        <f>IFERROR(INDEX(tabSource[Artikel],SMALL(tabSource[Liste],COUNTIF(tabSource[Liste],"=0")+ROW(A5)-1))," ")</f>
        <v xml:space="preserve"> </v>
      </c>
      <c r="Z6" s="3" t="str">
        <f t="shared" si="0"/>
        <v xml:space="preserve"> - </v>
      </c>
      <c r="AA6" s="3">
        <f>IFERROR(INDEX(tabArtikelliste[n],ROW(A5)),0)</f>
        <v>0</v>
      </c>
      <c r="AB6" s="3" t="str">
        <f t="shared" si="1"/>
        <v xml:space="preserve">x </v>
      </c>
      <c r="AC6" s="3">
        <f>IFERROR(INDEX(tabArtikelliste[A],ROW(A5)),0)</f>
        <v>0</v>
      </c>
      <c r="AD6" s="3" t="str">
        <f>CONCATENATE($Z6,IF($AA6&lt;&gt;"",$AA6,0),$AB6,IF($AC6&lt;&gt;"",$AC6,0),IFERROR(IF(tabB_Artikelliste[[#This Row],[Zus DEU]]="Bohrung","mm",""),""))</f>
        <v xml:space="preserve"> - 0x 0</v>
      </c>
      <c r="AE6" s="3" t="str">
        <f>IFERROR(INDEX(tabSource[Bohren],MATCH("&lt;"&amp;tabB_Artikelliste[[#This Row],[Artikel]]&amp;"&gt;",tabSource[ID],0))*tabB_Artikelliste[[#This Row],[Menge]],"")</f>
        <v/>
      </c>
      <c r="AF6" s="3" t="str">
        <f>IFERROR(INDEX(tabSource[Schweißen],MATCH("&lt;"&amp;tabB_Artikelliste[[#This Row],[Artikel]]&amp;"&gt;",tabSource[ID],0))*tabB_Artikelliste[[#This Row],[Menge]],"")</f>
        <v/>
      </c>
      <c r="AG6" s="48" t="e">
        <f>INDEX(tabB_ÜbersetzungBeschreibung[DEU],MATCH(INDEX(tabArtikelliste[Beschr.],ROW(A5)),tabB_ÜbersetzungBeschreibung[Eingabe],0))</f>
        <v>#N/A</v>
      </c>
      <c r="AH6" s="48" t="e">
        <f>INDEX(tabB_ÜbersetzungBeschreibung[ITA],MATCH(INDEX(tabArtikelliste[Beschr.],ROW(A5)),tabB_ÜbersetzungBeschreibung[Eingabe],0))</f>
        <v>#N/A</v>
      </c>
      <c r="AI6" s="48" t="e">
        <f>INDEX(tabB_ÜbersetzungBeschreibung[ENG],MATCH(INDEX(tabArtikelliste[Beschr.],ROW(A5)),tabB_ÜbersetzungBeschreibung[Eingabe],0))</f>
        <v>#N/A</v>
      </c>
      <c r="AJ6" s="48" t="e">
        <f>INDEX(tabB_ÜbersetzungBeschreibung[FRA],MATCH(INDEX(tabArtikelliste[Beschr.],ROW(A5)),tabB_ÜbersetzungBeschreibung[Eingabe],0))</f>
        <v>#N/A</v>
      </c>
      <c r="AK6" s="48" t="str">
        <f>INDEX(tabArtikelliste[Seite],ROW(A5))</f>
        <v/>
      </c>
      <c r="AL6" s="48" t="str">
        <f>IF(tabB_Artikelliste[[#This Row],[Artikel]]="Eck",CONCATENATE($Z6,IF($AA6&lt;&gt;"",$AA6,0),$AB6,IFERROR(IF(tabB_Artikelliste[[#This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6" s="48" t="str">
        <f>IF(tabB_Artikelliste[[#This Row],[Artikel]]="Eck",CONCATENATE($Z6,IF($AA6&lt;&gt;"",$AA6,0),$AB6,IFERROR(IF(tabB_Artikelliste[[#This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6" s="48" t="str">
        <f>IF(tabB_Artikelliste[[#This Row],[Artikel]]="Eck",CONCATENATE($Z6,IF($AA6&lt;&gt;"",$AA6,0),$AB6,IFERROR(IF(tabB_Artikelliste[[#This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6" s="48" t="str">
        <f>IF(tabB_Artikelliste[[#This Row],[Artikel]]="Eck",CONCATENATE($Z6,IF($AA6&lt;&gt;"",$AA6,0),$AB6,IFERROR(IF(tabB_Artikelliste[[#This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6" t="s">
        <v>165</v>
      </c>
      <c r="AR6" t="s">
        <v>165</v>
      </c>
      <c r="AS6" t="s">
        <v>194</v>
      </c>
      <c r="AT6" t="s">
        <v>195</v>
      </c>
      <c r="AU6" t="s">
        <v>375</v>
      </c>
    </row>
    <row r="7" spans="1:47" x14ac:dyDescent="0.25">
      <c r="L7" t="s">
        <v>33</v>
      </c>
      <c r="N7" t="str">
        <f>INDEX(tabE_ÜbersetzungAusrichtung[],ROW()-ROW(tabE_Ausrichtung[[#Headers],[Ausrichtung]]),MATCH(Sprache.Interface,Filter.Sprache,0))</f>
        <v>Eck innen</v>
      </c>
      <c r="P7" t="s">
        <v>297</v>
      </c>
      <c r="Q7" s="35"/>
      <c r="R7" s="1" t="s">
        <v>22</v>
      </c>
      <c r="S7" s="1" t="s">
        <v>14</v>
      </c>
      <c r="T7" s="1" t="s">
        <v>48</v>
      </c>
      <c r="X7" t="str">
        <f>IFERROR(INDEX(tabSource[Artikel],SMALL(tabSource[Liste],COUNTIF(tabSource[Liste],"=0")+ROW(A6)-1))," ")</f>
        <v xml:space="preserve"> </v>
      </c>
      <c r="Z7" s="3" t="str">
        <f t="shared" si="0"/>
        <v xml:space="preserve"> - </v>
      </c>
      <c r="AA7" s="3">
        <f>IFERROR(INDEX(tabArtikelliste[n],ROW(A6)),0)</f>
        <v>0</v>
      </c>
      <c r="AB7" s="3" t="str">
        <f t="shared" si="1"/>
        <v xml:space="preserve">x </v>
      </c>
      <c r="AC7" s="3">
        <f>IFERROR(INDEX(tabArtikelliste[A],ROW(A6)),0)</f>
        <v>0</v>
      </c>
      <c r="AD7" s="3" t="str">
        <f>CONCATENATE($Z7,IF($AA7&lt;&gt;"",$AA7,0),$AB7,IF($AC7&lt;&gt;"",$AC7,0),IFERROR(IF(tabB_Artikelliste[[#This Row],[Zus DEU]]="Bohrung","mm",""),""))</f>
        <v xml:space="preserve"> - 0x 0</v>
      </c>
      <c r="AE7" s="3" t="str">
        <f>IFERROR(INDEX(tabSource[Bohren],MATCH("&lt;"&amp;tabB_Artikelliste[[#This Row],[Artikel]]&amp;"&gt;",tabSource[ID],0))*tabB_Artikelliste[[#This Row],[Menge]],"")</f>
        <v/>
      </c>
      <c r="AF7" s="3" t="str">
        <f>IFERROR(INDEX(tabSource[Schweißen],MATCH("&lt;"&amp;tabB_Artikelliste[[#This Row],[Artikel]]&amp;"&gt;",tabSource[ID],0))*tabB_Artikelliste[[#This Row],[Menge]],"")</f>
        <v/>
      </c>
      <c r="AG7" s="48" t="e">
        <f>INDEX(tabB_ÜbersetzungBeschreibung[DEU],MATCH(INDEX(tabArtikelliste[Beschr.],ROW(A6)),tabB_ÜbersetzungBeschreibung[Eingabe],0))</f>
        <v>#N/A</v>
      </c>
      <c r="AH7" s="48" t="e">
        <f>INDEX(tabB_ÜbersetzungBeschreibung[ITA],MATCH(INDEX(tabArtikelliste[Beschr.],ROW(A6)),tabB_ÜbersetzungBeschreibung[Eingabe],0))</f>
        <v>#N/A</v>
      </c>
      <c r="AI7" s="48" t="e">
        <f>INDEX(tabB_ÜbersetzungBeschreibung[ENG],MATCH(INDEX(tabArtikelliste[Beschr.],ROW(A6)),tabB_ÜbersetzungBeschreibung[Eingabe],0))</f>
        <v>#N/A</v>
      </c>
      <c r="AJ7" s="48" t="e">
        <f>INDEX(tabB_ÜbersetzungBeschreibung[FRA],MATCH(INDEX(tabArtikelliste[Beschr.],ROW(A6)),tabB_ÜbersetzungBeschreibung[Eingabe],0))</f>
        <v>#N/A</v>
      </c>
      <c r="AK7" s="48" t="str">
        <f>INDEX(tabArtikelliste[Seite],ROW(A6))</f>
        <v/>
      </c>
      <c r="AL7" s="48" t="str">
        <f>IF(tabB_Artikelliste[[#This Row],[Artikel]]="Eck",CONCATENATE($Z7,IF($AA7&lt;&gt;"",$AA7,0),$AB7,IFERROR(IF(tabB_Artikelliste[[#This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7" s="48" t="str">
        <f>IF(tabB_Artikelliste[[#This Row],[Artikel]]="Eck",CONCATENATE($Z7,IF($AA7&lt;&gt;"",$AA7,0),$AB7,IFERROR(IF(tabB_Artikelliste[[#This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7" s="48" t="str">
        <f>IF(tabB_Artikelliste[[#This Row],[Artikel]]="Eck",CONCATENATE($Z7,IF($AA7&lt;&gt;"",$AA7,0),$AB7,IFERROR(IF(tabB_Artikelliste[[#This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7" s="48" t="str">
        <f>IF(tabB_Artikelliste[[#This Row],[Artikel]]="Eck",CONCATENATE($Z7,IF($AA7&lt;&gt;"",$AA7,0),$AB7,IFERROR(IF(tabB_Artikelliste[[#This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7" t="s">
        <v>150</v>
      </c>
      <c r="AR7" t="s">
        <v>150</v>
      </c>
      <c r="AS7" t="s">
        <v>190</v>
      </c>
      <c r="AT7" t="s">
        <v>196</v>
      </c>
      <c r="AU7" t="s">
        <v>324</v>
      </c>
    </row>
    <row r="8" spans="1:47" x14ac:dyDescent="0.25">
      <c r="L8" t="s">
        <v>34</v>
      </c>
      <c r="N8" t="str">
        <f>INDEX(tabE_ÜbersetzungAusrichtung[],ROW()-ROW(tabE_Ausrichtung[[#Headers],[Ausrichtung]]),MATCH(Sprache.Interface,Filter.Sprache,0))</f>
        <v>Eck außen</v>
      </c>
      <c r="P8" t="s">
        <v>298</v>
      </c>
      <c r="Q8" s="35"/>
      <c r="R8" s="1" t="s">
        <v>23</v>
      </c>
      <c r="S8" s="1" t="s">
        <v>14</v>
      </c>
      <c r="T8" s="1" t="s">
        <v>48</v>
      </c>
      <c r="X8" t="str">
        <f>IFERROR(INDEX(tabSource[Artikel],SMALL(tabSource[Liste],COUNTIF(tabSource[Liste],"=0")+ROW(A7)-1))," ")</f>
        <v xml:space="preserve"> </v>
      </c>
      <c r="Z8" s="3" t="str">
        <f t="shared" si="0"/>
        <v xml:space="preserve"> - </v>
      </c>
      <c r="AA8" s="3">
        <f>IFERROR(INDEX(tabArtikelliste[n],ROW(A7)),0)</f>
        <v>0</v>
      </c>
      <c r="AB8" s="3" t="str">
        <f t="shared" si="1"/>
        <v xml:space="preserve">x </v>
      </c>
      <c r="AC8" s="3">
        <f>IFERROR(INDEX(tabArtikelliste[A],ROW(A7)),0)</f>
        <v>0</v>
      </c>
      <c r="AD8" s="3" t="str">
        <f>CONCATENATE($Z8,IF($AA8&lt;&gt;"",$AA8,0),$AB8,IF($AC8&lt;&gt;"",$AC8,0),IFERROR(IF(tabB_Artikelliste[[#This Row],[Zus DEU]]="Bohrung","mm",""),""))</f>
        <v xml:space="preserve"> - 0x 0</v>
      </c>
      <c r="AE8" s="3" t="str">
        <f>IFERROR(INDEX(tabSource[Bohren],MATCH("&lt;"&amp;tabB_Artikelliste[[#This Row],[Artikel]]&amp;"&gt;",tabSource[ID],0))*tabB_Artikelliste[[#This Row],[Menge]],"")</f>
        <v/>
      </c>
      <c r="AF8" s="3" t="str">
        <f>IFERROR(INDEX(tabSource[Schweißen],MATCH("&lt;"&amp;tabB_Artikelliste[[#This Row],[Artikel]]&amp;"&gt;",tabSource[ID],0))*tabB_Artikelliste[[#This Row],[Menge]],"")</f>
        <v/>
      </c>
      <c r="AG8" s="48" t="e">
        <f>INDEX(tabB_ÜbersetzungBeschreibung[DEU],MATCH(INDEX(tabArtikelliste[Beschr.],ROW(A7)),tabB_ÜbersetzungBeschreibung[Eingabe],0))</f>
        <v>#N/A</v>
      </c>
      <c r="AH8" s="48" t="e">
        <f>INDEX(tabB_ÜbersetzungBeschreibung[ITA],MATCH(INDEX(tabArtikelliste[Beschr.],ROW(A7)),tabB_ÜbersetzungBeschreibung[Eingabe],0))</f>
        <v>#N/A</v>
      </c>
      <c r="AI8" s="48" t="e">
        <f>INDEX(tabB_ÜbersetzungBeschreibung[ENG],MATCH(INDEX(tabArtikelliste[Beschr.],ROW(A7)),tabB_ÜbersetzungBeschreibung[Eingabe],0))</f>
        <v>#N/A</v>
      </c>
      <c r="AJ8" s="48" t="e">
        <f>INDEX(tabB_ÜbersetzungBeschreibung[FRA],MATCH(INDEX(tabArtikelliste[Beschr.],ROW(A7)),tabB_ÜbersetzungBeschreibung[Eingabe],0))</f>
        <v>#N/A</v>
      </c>
      <c r="AK8" s="48" t="str">
        <f>INDEX(tabArtikelliste[Seite],ROW(A7))</f>
        <v/>
      </c>
      <c r="AL8" s="48" t="str">
        <f>IF(tabB_Artikelliste[[#This Row],[Artikel]]="Eck",CONCATENATE($Z8,IF($AA8&lt;&gt;"",$AA8,0),$AB8,IFERROR(IF(tabB_Artikelliste[[#This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8" s="48" t="str">
        <f>IF(tabB_Artikelliste[[#This Row],[Artikel]]="Eck",CONCATENATE($Z8,IF($AA8&lt;&gt;"",$AA8,0),$AB8,IFERROR(IF(tabB_Artikelliste[[#This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8" s="48" t="str">
        <f>IF(tabB_Artikelliste[[#This Row],[Artikel]]="Eck",CONCATENATE($Z8,IF($AA8&lt;&gt;"",$AA8,0),$AB8,IFERROR(IF(tabB_Artikelliste[[#This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8" s="48" t="str">
        <f>IF(tabB_Artikelliste[[#This Row],[Artikel]]="Eck",CONCATENATE($Z8,IF($AA8&lt;&gt;"",$AA8,0),$AB8,IFERROR(IF(tabB_Artikelliste[[#This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8" t="s">
        <v>151</v>
      </c>
      <c r="AR8" t="s">
        <v>151</v>
      </c>
      <c r="AS8" t="s">
        <v>191</v>
      </c>
      <c r="AT8" t="s">
        <v>335</v>
      </c>
      <c r="AU8" t="s">
        <v>197</v>
      </c>
    </row>
    <row r="9" spans="1:47" x14ac:dyDescent="0.25">
      <c r="L9" t="s">
        <v>426</v>
      </c>
      <c r="P9" t="s">
        <v>299</v>
      </c>
      <c r="R9" s="1" t="s">
        <v>24</v>
      </c>
      <c r="S9" s="1" t="s">
        <v>14</v>
      </c>
      <c r="T9" s="1" t="s">
        <v>70</v>
      </c>
      <c r="X9" t="str">
        <f>IFERROR(INDEX(tabSource[Artikel],SMALL(tabSource[Liste],COUNTIF(tabSource[Liste],"=0")+ROW(A8)-1))," ")</f>
        <v xml:space="preserve"> </v>
      </c>
      <c r="Z9" s="3" t="str">
        <f t="shared" si="0"/>
        <v xml:space="preserve"> - </v>
      </c>
      <c r="AA9" s="3">
        <f>IFERROR(INDEX(tabArtikelliste[n],ROW(A8)),0)</f>
        <v>0</v>
      </c>
      <c r="AB9" s="3" t="str">
        <f t="shared" si="1"/>
        <v xml:space="preserve">x </v>
      </c>
      <c r="AC9" s="3">
        <f>IFERROR(INDEX(tabArtikelliste[A],ROW(A8)),0)</f>
        <v>0</v>
      </c>
      <c r="AD9" s="3" t="str">
        <f>CONCATENATE($Z9,IF($AA9&lt;&gt;"",$AA9,0),$AB9,IF($AC9&lt;&gt;"",$AC9,0),IFERROR(IF(tabB_Artikelliste[[#This Row],[Zus DEU]]="Bohrung","mm",""),""))</f>
        <v xml:space="preserve"> - 0x 0</v>
      </c>
      <c r="AE9" s="3" t="str">
        <f>IFERROR(INDEX(tabSource[Bohren],MATCH("&lt;"&amp;tabB_Artikelliste[[#This Row],[Artikel]]&amp;"&gt;",tabSource[ID],0))*tabB_Artikelliste[[#This Row],[Menge]],"")</f>
        <v/>
      </c>
      <c r="AF9" s="3" t="str">
        <f>IFERROR(INDEX(tabSource[Schweißen],MATCH("&lt;"&amp;tabB_Artikelliste[[#This Row],[Artikel]]&amp;"&gt;",tabSource[ID],0))*tabB_Artikelliste[[#This Row],[Menge]],"")</f>
        <v/>
      </c>
      <c r="AG9" s="48" t="e">
        <f>INDEX(tabB_ÜbersetzungBeschreibung[DEU],MATCH(INDEX(tabArtikelliste[Beschr.],ROW(A8)),tabB_ÜbersetzungBeschreibung[Eingabe],0))</f>
        <v>#N/A</v>
      </c>
      <c r="AH9" s="48" t="e">
        <f>INDEX(tabB_ÜbersetzungBeschreibung[ITA],MATCH(INDEX(tabArtikelliste[Beschr.],ROW(A8)),tabB_ÜbersetzungBeschreibung[Eingabe],0))</f>
        <v>#N/A</v>
      </c>
      <c r="AI9" s="48" t="e">
        <f>INDEX(tabB_ÜbersetzungBeschreibung[ENG],MATCH(INDEX(tabArtikelliste[Beschr.],ROW(A8)),tabB_ÜbersetzungBeschreibung[Eingabe],0))</f>
        <v>#N/A</v>
      </c>
      <c r="AJ9" s="48" t="e">
        <f>INDEX(tabB_ÜbersetzungBeschreibung[FRA],MATCH(INDEX(tabArtikelliste[Beschr.],ROW(A8)),tabB_ÜbersetzungBeschreibung[Eingabe],0))</f>
        <v>#N/A</v>
      </c>
      <c r="AK9" s="48" t="str">
        <f>INDEX(tabArtikelliste[Seite],ROW(A8))</f>
        <v/>
      </c>
      <c r="AL9" s="48" t="str">
        <f>IF(tabB_Artikelliste[[#This Row],[Artikel]]="Eck",CONCATENATE($Z9,IF($AA9&lt;&gt;"",$AA9,0),$AB9,IFERROR(IF(tabB_Artikelliste[[#This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9" s="48" t="str">
        <f>IF(tabB_Artikelliste[[#This Row],[Artikel]]="Eck",CONCATENATE($Z9,IF($AA9&lt;&gt;"",$AA9,0),$AB9,IFERROR(IF(tabB_Artikelliste[[#This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9" s="48" t="str">
        <f>IF(tabB_Artikelliste[[#This Row],[Artikel]]="Eck",CONCATENATE($Z9,IF($AA9&lt;&gt;"",$AA9,0),$AB9,IFERROR(IF(tabB_Artikelliste[[#This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9" s="48" t="str">
        <f>IF(tabB_Artikelliste[[#This Row],[Artikel]]="Eck",CONCATENATE($Z9,IF($AA9&lt;&gt;"",$AA9,0),$AB9,IFERROR(IF(tabB_Artikelliste[[#This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9" t="s">
        <v>408</v>
      </c>
      <c r="AR9" t="s">
        <v>408</v>
      </c>
      <c r="AS9" t="s">
        <v>412</v>
      </c>
      <c r="AT9" s="37"/>
    </row>
    <row r="10" spans="1:47" x14ac:dyDescent="0.25">
      <c r="L10" t="s">
        <v>427</v>
      </c>
      <c r="P10" t="s">
        <v>300</v>
      </c>
      <c r="Q10" s="35"/>
      <c r="R10" s="1" t="s">
        <v>25</v>
      </c>
      <c r="S10" s="1" t="s">
        <v>14</v>
      </c>
      <c r="T10" s="1" t="s">
        <v>48</v>
      </c>
      <c r="X10" t="str">
        <f>IFERROR(INDEX(tabSource[Artikel],SMALL(tabSource[Liste],COUNTIF(tabSource[Liste],"=0")+ROW(A9)-1))," ")</f>
        <v xml:space="preserve"> </v>
      </c>
      <c r="Z10" s="3" t="str">
        <f t="shared" si="0"/>
        <v xml:space="preserve"> - </v>
      </c>
      <c r="AA10" s="3">
        <f>IFERROR(INDEX(tabArtikelliste[n],ROW(A9)),0)</f>
        <v>0</v>
      </c>
      <c r="AB10" s="3" t="str">
        <f t="shared" si="1"/>
        <v xml:space="preserve">x </v>
      </c>
      <c r="AC10" s="3">
        <f>IFERROR(INDEX(tabArtikelliste[A],ROW(A9)),0)</f>
        <v>0</v>
      </c>
      <c r="AD10" s="3" t="str">
        <f>CONCATENATE($Z10,IF($AA10&lt;&gt;"",$AA10,0),$AB10,IF($AC10&lt;&gt;"",$AC10,0),IFERROR(IF(tabB_Artikelliste[[#This Row],[Zus DEU]]="Bohrung","mm",""),""))</f>
        <v xml:space="preserve"> - 0x 0</v>
      </c>
      <c r="AE10" s="3" t="str">
        <f>IFERROR(INDEX(tabSource[Bohren],MATCH("&lt;"&amp;tabB_Artikelliste[[#This Row],[Artikel]]&amp;"&gt;",tabSource[ID],0))*tabB_Artikelliste[[#This Row],[Menge]],"")</f>
        <v/>
      </c>
      <c r="AF10" s="3" t="str">
        <f>IFERROR(INDEX(tabSource[Schweißen],MATCH("&lt;"&amp;tabB_Artikelliste[[#This Row],[Artikel]]&amp;"&gt;",tabSource[ID],0))*tabB_Artikelliste[[#This Row],[Menge]],"")</f>
        <v/>
      </c>
      <c r="AG10" s="48" t="e">
        <f>INDEX(tabB_ÜbersetzungBeschreibung[DEU],MATCH(INDEX(tabArtikelliste[Beschr.],ROW(A9)),tabB_ÜbersetzungBeschreibung[Eingabe],0))</f>
        <v>#N/A</v>
      </c>
      <c r="AH10" s="48" t="e">
        <f>INDEX(tabB_ÜbersetzungBeschreibung[ITA],MATCH(INDEX(tabArtikelliste[Beschr.],ROW(A9)),tabB_ÜbersetzungBeschreibung[Eingabe],0))</f>
        <v>#N/A</v>
      </c>
      <c r="AI10" s="48" t="e">
        <f>INDEX(tabB_ÜbersetzungBeschreibung[ENG],MATCH(INDEX(tabArtikelliste[Beschr.],ROW(A9)),tabB_ÜbersetzungBeschreibung[Eingabe],0))</f>
        <v>#N/A</v>
      </c>
      <c r="AJ10" s="48" t="e">
        <f>INDEX(tabB_ÜbersetzungBeschreibung[FRA],MATCH(INDEX(tabArtikelliste[Beschr.],ROW(A9)),tabB_ÜbersetzungBeschreibung[Eingabe],0))</f>
        <v>#N/A</v>
      </c>
      <c r="AK10" s="48" t="str">
        <f>INDEX(tabArtikelliste[Seite],ROW(A9))</f>
        <v/>
      </c>
      <c r="AL10" s="48" t="str">
        <f>IF(tabB_Artikelliste[[#This Row],[Artikel]]="Eck",CONCATENATE($Z10,IF($AA10&lt;&gt;"",$AA10,0),$AB10,IFERROR(IF(tabB_Artikelliste[[#This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0" s="48" t="str">
        <f>IF(tabB_Artikelliste[[#This Row],[Artikel]]="Eck",CONCATENATE($Z10,IF($AA10&lt;&gt;"",$AA10,0),$AB10,IFERROR(IF(tabB_Artikelliste[[#This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0" s="48" t="str">
        <f>IF(tabB_Artikelliste[[#This Row],[Artikel]]="Eck",CONCATENATE($Z10,IF($AA10&lt;&gt;"",$AA10,0),$AB10,IFERROR(IF(tabB_Artikelliste[[#This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0" s="48" t="str">
        <f>IF(tabB_Artikelliste[[#This Row],[Artikel]]="Eck",CONCATENATE($Z10,IF($AA10&lt;&gt;"",$AA10,0),$AB10,IFERROR(IF(tabB_Artikelliste[[#This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0" t="s">
        <v>157</v>
      </c>
      <c r="AR10" t="s">
        <v>157</v>
      </c>
      <c r="AS10" t="s">
        <v>198</v>
      </c>
      <c r="AT10" t="s">
        <v>199</v>
      </c>
      <c r="AU10" t="s">
        <v>327</v>
      </c>
    </row>
    <row r="11" spans="1:47" x14ac:dyDescent="0.25">
      <c r="L11" t="s">
        <v>24</v>
      </c>
      <c r="P11" t="s">
        <v>301</v>
      </c>
      <c r="Q11" s="35"/>
      <c r="R11" s="1" t="s">
        <v>26</v>
      </c>
      <c r="S11" s="1" t="s">
        <v>14</v>
      </c>
      <c r="T11" s="1" t="s">
        <v>48</v>
      </c>
      <c r="X11" t="str">
        <f>IFERROR(INDEX(tabSource[Artikel],SMALL(tabSource[Liste],COUNTIF(tabSource[Liste],"=0")+ROW(A10)-1))," ")</f>
        <v xml:space="preserve"> </v>
      </c>
      <c r="Z11" s="3" t="str">
        <f t="shared" si="0"/>
        <v xml:space="preserve"> - </v>
      </c>
      <c r="AA11" s="3">
        <f>IFERROR(INDEX(tabArtikelliste[n],ROW(A10)),0)</f>
        <v>0</v>
      </c>
      <c r="AB11" s="3" t="str">
        <f t="shared" si="1"/>
        <v xml:space="preserve">x </v>
      </c>
      <c r="AC11" s="3">
        <f>IFERROR(INDEX(tabArtikelliste[A],ROW(A10)),0)</f>
        <v>0</v>
      </c>
      <c r="AD11" s="3" t="str">
        <f>CONCATENATE($Z11,IF($AA11&lt;&gt;"",$AA11,0),$AB11,IF($AC11&lt;&gt;"",$AC11,0),IFERROR(IF(tabB_Artikelliste[[#This Row],[Zus DEU]]="Bohrung","mm",""),""))</f>
        <v xml:space="preserve"> - 0x 0</v>
      </c>
      <c r="AE11" s="3" t="str">
        <f>IFERROR(INDEX(tabSource[Bohren],MATCH("&lt;"&amp;tabB_Artikelliste[[#This Row],[Artikel]]&amp;"&gt;",tabSource[ID],0))*tabB_Artikelliste[[#This Row],[Menge]],"")</f>
        <v/>
      </c>
      <c r="AF11" s="3" t="str">
        <f>IFERROR(INDEX(tabSource[Schweißen],MATCH("&lt;"&amp;tabB_Artikelliste[[#This Row],[Artikel]]&amp;"&gt;",tabSource[ID],0))*tabB_Artikelliste[[#This Row],[Menge]],"")</f>
        <v/>
      </c>
      <c r="AG11" s="48" t="e">
        <f>INDEX(tabB_ÜbersetzungBeschreibung[DEU],MATCH(INDEX(tabArtikelliste[Beschr.],ROW(A10)),tabB_ÜbersetzungBeschreibung[Eingabe],0))</f>
        <v>#N/A</v>
      </c>
      <c r="AH11" s="48" t="e">
        <f>INDEX(tabB_ÜbersetzungBeschreibung[ITA],MATCH(INDEX(tabArtikelliste[Beschr.],ROW(A10)),tabB_ÜbersetzungBeschreibung[Eingabe],0))</f>
        <v>#N/A</v>
      </c>
      <c r="AI11" s="48" t="e">
        <f>INDEX(tabB_ÜbersetzungBeschreibung[ENG],MATCH(INDEX(tabArtikelliste[Beschr.],ROW(A10)),tabB_ÜbersetzungBeschreibung[Eingabe],0))</f>
        <v>#N/A</v>
      </c>
      <c r="AJ11" s="48" t="e">
        <f>INDEX(tabB_ÜbersetzungBeschreibung[FRA],MATCH(INDEX(tabArtikelliste[Beschr.],ROW(A10)),tabB_ÜbersetzungBeschreibung[Eingabe],0))</f>
        <v>#N/A</v>
      </c>
      <c r="AK11" s="48" t="str">
        <f>INDEX(tabArtikelliste[Seite],ROW(A10))</f>
        <v/>
      </c>
      <c r="AL11" s="48" t="str">
        <f>IF(tabB_Artikelliste[[#This Row],[Artikel]]="Eck",CONCATENATE($Z11,IF($AA11&lt;&gt;"",$AA11,0),$AB11,IFERROR(IF(tabB_Artikelliste[[#This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1" s="48" t="str">
        <f>IF(tabB_Artikelliste[[#This Row],[Artikel]]="Eck",CONCATENATE($Z11,IF($AA11&lt;&gt;"",$AA11,0),$AB11,IFERROR(IF(tabB_Artikelliste[[#This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1" s="48" t="str">
        <f>IF(tabB_Artikelliste[[#This Row],[Artikel]]="Eck",CONCATENATE($Z11,IF($AA11&lt;&gt;"",$AA11,0),$AB11,IFERROR(IF(tabB_Artikelliste[[#This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1" s="48" t="str">
        <f>IF(tabB_Artikelliste[[#This Row],[Artikel]]="Eck",CONCATENATE($Z11,IF($AA11&lt;&gt;"",$AA11,0),$AB11,IFERROR(IF(tabB_Artikelliste[[#This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1" t="s">
        <v>173</v>
      </c>
      <c r="AR11" t="s">
        <v>173</v>
      </c>
      <c r="AS11" t="s">
        <v>200</v>
      </c>
      <c r="AT11" t="s">
        <v>201</v>
      </c>
      <c r="AU11" t="s">
        <v>329</v>
      </c>
    </row>
    <row r="12" spans="1:47" x14ac:dyDescent="0.25">
      <c r="L12" t="s">
        <v>25</v>
      </c>
      <c r="P12" t="s">
        <v>302</v>
      </c>
      <c r="Q12" s="35"/>
      <c r="R12" s="1" t="s">
        <v>27</v>
      </c>
      <c r="S12" s="1" t="s">
        <v>14</v>
      </c>
      <c r="T12" s="1" t="s">
        <v>48</v>
      </c>
      <c r="X12" t="str">
        <f>IFERROR(INDEX(tabSource[Artikel],SMALL(tabSource[Liste],COUNTIF(tabSource[Liste],"=0")+ROW(A11)-1))," ")</f>
        <v xml:space="preserve"> </v>
      </c>
      <c r="Z12" s="3" t="str">
        <f t="shared" si="0"/>
        <v xml:space="preserve"> - </v>
      </c>
      <c r="AA12" s="3">
        <f>IFERROR(INDEX(tabArtikelliste[n],ROW(A11)),0)</f>
        <v>0</v>
      </c>
      <c r="AB12" s="3" t="str">
        <f t="shared" si="1"/>
        <v xml:space="preserve">x </v>
      </c>
      <c r="AC12" s="3">
        <f>IFERROR(INDEX(tabArtikelliste[A],ROW(A11)),0)</f>
        <v>0</v>
      </c>
      <c r="AD12" s="3" t="str">
        <f>CONCATENATE($Z12,IF($AA12&lt;&gt;"",$AA12,0),$AB12,IF($AC12&lt;&gt;"",$AC12,0),IFERROR(IF(tabB_Artikelliste[[#This Row],[Zus DEU]]="Bohrung","mm",""),""))</f>
        <v xml:space="preserve"> - 0x 0</v>
      </c>
      <c r="AE12" s="3" t="str">
        <f>IFERROR(INDEX(tabSource[Bohren],MATCH("&lt;"&amp;tabB_Artikelliste[[#This Row],[Artikel]]&amp;"&gt;",tabSource[ID],0))*tabB_Artikelliste[[#This Row],[Menge]],"")</f>
        <v/>
      </c>
      <c r="AF12" s="3" t="str">
        <f>IFERROR(INDEX(tabSource[Schweißen],MATCH("&lt;"&amp;tabB_Artikelliste[[#This Row],[Artikel]]&amp;"&gt;",tabSource[ID],0))*tabB_Artikelliste[[#This Row],[Menge]],"")</f>
        <v/>
      </c>
      <c r="AG12" s="48" t="e">
        <f>INDEX(tabB_ÜbersetzungBeschreibung[DEU],MATCH(INDEX(tabArtikelliste[Beschr.],ROW(A11)),tabB_ÜbersetzungBeschreibung[Eingabe],0))</f>
        <v>#REF!</v>
      </c>
      <c r="AH12" s="48" t="e">
        <f>INDEX(tabB_ÜbersetzungBeschreibung[ITA],MATCH(INDEX(tabArtikelliste[Beschr.],ROW(A11)),tabB_ÜbersetzungBeschreibung[Eingabe],0))</f>
        <v>#REF!</v>
      </c>
      <c r="AI12" s="48" t="e">
        <f>INDEX(tabB_ÜbersetzungBeschreibung[ENG],MATCH(INDEX(tabArtikelliste[Beschr.],ROW(A11)),tabB_ÜbersetzungBeschreibung[Eingabe],0))</f>
        <v>#REF!</v>
      </c>
      <c r="AJ12" s="48" t="e">
        <f>INDEX(tabB_ÜbersetzungBeschreibung[FRA],MATCH(INDEX(tabArtikelliste[Beschr.],ROW(A11)),tabB_ÜbersetzungBeschreibung[Eingabe],0))</f>
        <v>#REF!</v>
      </c>
      <c r="AK12" s="48" t="e">
        <f>INDEX(tabArtikelliste[Seite],ROW(A11))</f>
        <v>#REF!</v>
      </c>
      <c r="AL12" s="48" t="str">
        <f>IF(tabB_Artikelliste[[#This Row],[Artikel]]="Eck",CONCATENATE($Z12,IF($AA12&lt;&gt;"",$AA12,0),$AB12,IFERROR(IF(tabB_Artikelliste[[#This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2" s="48" t="str">
        <f>IF(tabB_Artikelliste[[#This Row],[Artikel]]="Eck",CONCATENATE($Z12,IF($AA12&lt;&gt;"",$AA12,0),$AB12,IFERROR(IF(tabB_Artikelliste[[#This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2" s="48" t="str">
        <f>IF(tabB_Artikelliste[[#This Row],[Artikel]]="Eck",CONCATENATE($Z12,IF($AA12&lt;&gt;"",$AA12,0),$AB12,IFERROR(IF(tabB_Artikelliste[[#This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2" s="48" t="str">
        <f>IF(tabB_Artikelliste[[#This Row],[Artikel]]="Eck",CONCATENATE($Z12,IF($AA12&lt;&gt;"",$AA12,0),$AB12,IFERROR(IF(tabB_Artikelliste[[#This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2" t="s">
        <v>155</v>
      </c>
      <c r="AR12" t="s">
        <v>155</v>
      </c>
      <c r="AS12" t="s">
        <v>202</v>
      </c>
      <c r="AT12" t="s">
        <v>203</v>
      </c>
      <c r="AU12" t="s">
        <v>325</v>
      </c>
    </row>
    <row r="13" spans="1:47" x14ac:dyDescent="0.25">
      <c r="P13" t="s">
        <v>303</v>
      </c>
      <c r="Q13" s="35"/>
      <c r="R13" s="1" t="s">
        <v>28</v>
      </c>
      <c r="S13" s="1" t="s">
        <v>14</v>
      </c>
      <c r="T13" s="1" t="s">
        <v>48</v>
      </c>
      <c r="X13" t="str">
        <f>IFERROR(INDEX(tabSource[Artikel],SMALL(tabSource[Liste],COUNTIF(tabSource[Liste],"=0")+ROW(A12)-1))," ")</f>
        <v xml:space="preserve"> </v>
      </c>
      <c r="Z13" s="3" t="str">
        <f t="shared" si="0"/>
        <v xml:space="preserve"> - </v>
      </c>
      <c r="AA13" s="3">
        <f>IFERROR(INDEX(tabArtikelliste[n],ROW(A12)),0)</f>
        <v>0</v>
      </c>
      <c r="AB13" s="3" t="str">
        <f t="shared" si="1"/>
        <v xml:space="preserve">x </v>
      </c>
      <c r="AC13" s="3">
        <f>IFERROR(INDEX(tabArtikelliste[A],ROW(A12)),0)</f>
        <v>0</v>
      </c>
      <c r="AD13" s="3" t="str">
        <f>CONCATENATE($Z13,IF($AA13&lt;&gt;"",$AA13,0),$AB13,IF($AC13&lt;&gt;"",$AC13,0),IFERROR(IF(tabB_Artikelliste[[#This Row],[Zus DEU]]="Bohrung","mm",""),""))</f>
        <v xml:space="preserve"> - 0x 0</v>
      </c>
      <c r="AE13" s="3" t="str">
        <f>IFERROR(INDEX(tabSource[Bohren],MATCH("&lt;"&amp;tabB_Artikelliste[[#This Row],[Artikel]]&amp;"&gt;",tabSource[ID],0))*tabB_Artikelliste[[#This Row],[Menge]],"")</f>
        <v/>
      </c>
      <c r="AF13" s="3" t="str">
        <f>IFERROR(INDEX(tabSource[Schweißen],MATCH("&lt;"&amp;tabB_Artikelliste[[#This Row],[Artikel]]&amp;"&gt;",tabSource[ID],0))*tabB_Artikelliste[[#This Row],[Menge]],"")</f>
        <v/>
      </c>
      <c r="AG13" s="48" t="e">
        <f>INDEX(tabB_ÜbersetzungBeschreibung[DEU],MATCH(INDEX(tabArtikelliste[Beschr.],ROW(A12)),tabB_ÜbersetzungBeschreibung[Eingabe],0))</f>
        <v>#REF!</v>
      </c>
      <c r="AH13" s="48" t="e">
        <f>INDEX(tabB_ÜbersetzungBeschreibung[ITA],MATCH(INDEX(tabArtikelliste[Beschr.],ROW(A12)),tabB_ÜbersetzungBeschreibung[Eingabe],0))</f>
        <v>#REF!</v>
      </c>
      <c r="AI13" s="48" t="e">
        <f>INDEX(tabB_ÜbersetzungBeschreibung[ENG],MATCH(INDEX(tabArtikelliste[Beschr.],ROW(A12)),tabB_ÜbersetzungBeschreibung[Eingabe],0))</f>
        <v>#REF!</v>
      </c>
      <c r="AJ13" s="48" t="e">
        <f>INDEX(tabB_ÜbersetzungBeschreibung[FRA],MATCH(INDEX(tabArtikelliste[Beschr.],ROW(A12)),tabB_ÜbersetzungBeschreibung[Eingabe],0))</f>
        <v>#REF!</v>
      </c>
      <c r="AK13" s="48" t="e">
        <f>INDEX(tabArtikelliste[Seite],ROW(A12))</f>
        <v>#REF!</v>
      </c>
      <c r="AL13" s="48" t="str">
        <f>IF(tabB_Artikelliste[[#This Row],[Artikel]]="Eck",CONCATENATE($Z13,IF($AA13&lt;&gt;"",$AA13,0),$AB13,IFERROR(IF(tabB_Artikelliste[[#This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3" s="48" t="str">
        <f>IF(tabB_Artikelliste[[#This Row],[Artikel]]="Eck",CONCATENATE($Z13,IF($AA13&lt;&gt;"",$AA13,0),$AB13,IFERROR(IF(tabB_Artikelliste[[#This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3" s="48" t="str">
        <f>IF(tabB_Artikelliste[[#This Row],[Artikel]]="Eck",CONCATENATE($Z13,IF($AA13&lt;&gt;"",$AA13,0),$AB13,IFERROR(IF(tabB_Artikelliste[[#This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3" s="48" t="str">
        <f>IF(tabB_Artikelliste[[#This Row],[Artikel]]="Eck",CONCATENATE($Z13,IF($AA13&lt;&gt;"",$AA13,0),$AB13,IFERROR(IF(tabB_Artikelliste[[#This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3" t="s">
        <v>409</v>
      </c>
      <c r="AR13" t="s">
        <v>409</v>
      </c>
      <c r="AS13" t="s">
        <v>202</v>
      </c>
      <c r="AT13" t="s">
        <v>203</v>
      </c>
      <c r="AU13" t="s">
        <v>325</v>
      </c>
    </row>
    <row r="14" spans="1:47" x14ac:dyDescent="0.25">
      <c r="P14" t="s">
        <v>304</v>
      </c>
      <c r="Q14" s="35"/>
      <c r="R14" s="1" t="s">
        <v>29</v>
      </c>
      <c r="S14" s="1" t="s">
        <v>14</v>
      </c>
      <c r="T14" s="1" t="s">
        <v>48</v>
      </c>
      <c r="X14" t="str">
        <f>IFERROR(INDEX(tabSource[Artikel],SMALL(tabSource[Liste],COUNTIF(tabSource[Liste],"=0")+ROW(A13)-1))," ")</f>
        <v xml:space="preserve"> </v>
      </c>
      <c r="Z14" s="3" t="str">
        <f t="shared" si="0"/>
        <v xml:space="preserve"> - </v>
      </c>
      <c r="AA14" s="3">
        <f>IFERROR(INDEX(tabArtikelliste[n],ROW(A13)),0)</f>
        <v>0</v>
      </c>
      <c r="AB14" s="3" t="str">
        <f t="shared" si="1"/>
        <v xml:space="preserve">x </v>
      </c>
      <c r="AC14" s="3">
        <f>IFERROR(INDEX(tabArtikelliste[A],ROW(A13)),0)</f>
        <v>0</v>
      </c>
      <c r="AD14" s="3" t="str">
        <f>CONCATENATE($Z14,IF($AA14&lt;&gt;"",$AA14,0),$AB14,IF($AC14&lt;&gt;"",$AC14,0),IFERROR(IF(tabB_Artikelliste[[#This Row],[Zus DEU]]="Bohrung","mm",""),""))</f>
        <v xml:space="preserve"> - 0x 0</v>
      </c>
      <c r="AE14" s="3" t="str">
        <f>IFERROR(INDEX(tabSource[Bohren],MATCH("&lt;"&amp;tabB_Artikelliste[[#This Row],[Artikel]]&amp;"&gt;",tabSource[ID],0))*tabB_Artikelliste[[#This Row],[Menge]],"")</f>
        <v/>
      </c>
      <c r="AF14" s="3" t="str">
        <f>IFERROR(INDEX(tabSource[Schweißen],MATCH("&lt;"&amp;tabB_Artikelliste[[#This Row],[Artikel]]&amp;"&gt;",tabSource[ID],0))*tabB_Artikelliste[[#This Row],[Menge]],"")</f>
        <v/>
      </c>
      <c r="AG14" s="48" t="e">
        <f>INDEX(tabB_ÜbersetzungBeschreibung[DEU],MATCH(INDEX(tabArtikelliste[Beschr.],ROW(A13)),tabB_ÜbersetzungBeschreibung[Eingabe],0))</f>
        <v>#REF!</v>
      </c>
      <c r="AH14" s="48" t="e">
        <f>INDEX(tabB_ÜbersetzungBeschreibung[ITA],MATCH(INDEX(tabArtikelliste[Beschr.],ROW(A13)),tabB_ÜbersetzungBeschreibung[Eingabe],0))</f>
        <v>#REF!</v>
      </c>
      <c r="AI14" s="48" t="e">
        <f>INDEX(tabB_ÜbersetzungBeschreibung[ENG],MATCH(INDEX(tabArtikelliste[Beschr.],ROW(A13)),tabB_ÜbersetzungBeschreibung[Eingabe],0))</f>
        <v>#REF!</v>
      </c>
      <c r="AJ14" s="48" t="e">
        <f>INDEX(tabB_ÜbersetzungBeschreibung[FRA],MATCH(INDEX(tabArtikelliste[Beschr.],ROW(A13)),tabB_ÜbersetzungBeschreibung[Eingabe],0))</f>
        <v>#REF!</v>
      </c>
      <c r="AK14" s="48" t="e">
        <f>INDEX(tabArtikelliste[Seite],ROW(A13))</f>
        <v>#REF!</v>
      </c>
      <c r="AL14" s="48" t="str">
        <f>IF(tabB_Artikelliste[[#This Row],[Artikel]]="Eck",CONCATENATE($Z14,IF($AA14&lt;&gt;"",$AA14,0),$AB14,IFERROR(IF(tabB_Artikelliste[[#This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4" s="48" t="str">
        <f>IF(tabB_Artikelliste[[#This Row],[Artikel]]="Eck",CONCATENATE($Z14,IF($AA14&lt;&gt;"",$AA14,0),$AB14,IFERROR(IF(tabB_Artikelliste[[#This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4" s="48" t="str">
        <f>IF(tabB_Artikelliste[[#This Row],[Artikel]]="Eck",CONCATENATE($Z14,IF($AA14&lt;&gt;"",$AA14,0),$AB14,IFERROR(IF(tabB_Artikelliste[[#This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4" s="48" t="str">
        <f>IF(tabB_Artikelliste[[#This Row],[Artikel]]="Eck",CONCATENATE($Z14,IF($AA14&lt;&gt;"",$AA14,0),$AB14,IFERROR(IF(tabB_Artikelliste[[#This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4" t="s">
        <v>168</v>
      </c>
      <c r="AR14" t="s">
        <v>168</v>
      </c>
      <c r="AS14" t="s">
        <v>204</v>
      </c>
      <c r="AT14" t="s">
        <v>205</v>
      </c>
      <c r="AU14" t="s">
        <v>206</v>
      </c>
    </row>
    <row r="15" spans="1:47" x14ac:dyDescent="0.25">
      <c r="P15" t="s">
        <v>305</v>
      </c>
      <c r="Q15" s="35"/>
      <c r="R15" s="1" t="s">
        <v>30</v>
      </c>
      <c r="S15" s="1" t="s">
        <v>14</v>
      </c>
      <c r="T15" s="1" t="s">
        <v>48</v>
      </c>
      <c r="X15" t="str">
        <f>IFERROR(INDEX(tabSource[Artikel],SMALL(tabSource[Liste],COUNTIF(tabSource[Liste],"=0")+ROW(A14)-1))," ")</f>
        <v xml:space="preserve"> </v>
      </c>
      <c r="Z15" s="3" t="str">
        <f t="shared" si="0"/>
        <v xml:space="preserve"> - </v>
      </c>
      <c r="AA15" s="3">
        <f>IFERROR(INDEX(tabArtikelliste[n],ROW(A14)),0)</f>
        <v>0</v>
      </c>
      <c r="AB15" s="3" t="str">
        <f t="shared" si="1"/>
        <v xml:space="preserve">x </v>
      </c>
      <c r="AC15" s="3">
        <f>IFERROR(INDEX(tabArtikelliste[A],ROW(A14)),0)</f>
        <v>0</v>
      </c>
      <c r="AD15" s="3" t="str">
        <f>CONCATENATE($Z15,IF($AA15&lt;&gt;"",$AA15,0),$AB15,IF($AC15&lt;&gt;"",$AC15,0),IFERROR(IF(tabB_Artikelliste[[#This Row],[Zus DEU]]="Bohrung","mm",""),""))</f>
        <v xml:space="preserve"> - 0x 0</v>
      </c>
      <c r="AE15" s="3" t="str">
        <f>IFERROR(INDEX(tabSource[Bohren],MATCH("&lt;"&amp;tabB_Artikelliste[[#This Row],[Artikel]]&amp;"&gt;",tabSource[ID],0))*tabB_Artikelliste[[#This Row],[Menge]],"")</f>
        <v/>
      </c>
      <c r="AF15" s="3" t="str">
        <f>IFERROR(INDEX(tabSource[Schweißen],MATCH("&lt;"&amp;tabB_Artikelliste[[#This Row],[Artikel]]&amp;"&gt;",tabSource[ID],0))*tabB_Artikelliste[[#This Row],[Menge]],"")</f>
        <v/>
      </c>
      <c r="AG15" s="48" t="e">
        <f>INDEX(tabB_ÜbersetzungBeschreibung[DEU],MATCH(INDEX(tabArtikelliste[Beschr.],ROW(A14)),tabB_ÜbersetzungBeschreibung[Eingabe],0))</f>
        <v>#REF!</v>
      </c>
      <c r="AH15" s="48" t="e">
        <f>INDEX(tabB_ÜbersetzungBeschreibung[ITA],MATCH(INDEX(tabArtikelliste[Beschr.],ROW(A14)),tabB_ÜbersetzungBeschreibung[Eingabe],0))</f>
        <v>#REF!</v>
      </c>
      <c r="AI15" s="48" t="e">
        <f>INDEX(tabB_ÜbersetzungBeschreibung[ENG],MATCH(INDEX(tabArtikelliste[Beschr.],ROW(A14)),tabB_ÜbersetzungBeschreibung[Eingabe],0))</f>
        <v>#REF!</v>
      </c>
      <c r="AJ15" s="48" t="e">
        <f>INDEX(tabB_ÜbersetzungBeschreibung[FRA],MATCH(INDEX(tabArtikelliste[Beschr.],ROW(A14)),tabB_ÜbersetzungBeschreibung[Eingabe],0))</f>
        <v>#REF!</v>
      </c>
      <c r="AK15" s="48" t="e">
        <f>INDEX(tabArtikelliste[Seite],ROW(A14))</f>
        <v>#REF!</v>
      </c>
      <c r="AL15" s="48" t="str">
        <f>IF(tabB_Artikelliste[[#This Row],[Artikel]]="Eck",CONCATENATE($Z15,IF($AA15&lt;&gt;"",$AA15,0),$AB15,IFERROR(IF(tabB_Artikelliste[[#This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5" s="48" t="str">
        <f>IF(tabB_Artikelliste[[#This Row],[Artikel]]="Eck",CONCATENATE($Z15,IF($AA15&lt;&gt;"",$AA15,0),$AB15,IFERROR(IF(tabB_Artikelliste[[#This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5" s="48" t="str">
        <f>IF(tabB_Artikelliste[[#This Row],[Artikel]]="Eck",CONCATENATE($Z15,IF($AA15&lt;&gt;"",$AA15,0),$AB15,IFERROR(IF(tabB_Artikelliste[[#This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5" s="48" t="str">
        <f>IF(tabB_Artikelliste[[#This Row],[Artikel]]="Eck",CONCATENATE($Z15,IF($AA15&lt;&gt;"",$AA15,0),$AB15,IFERROR(IF(tabB_Artikelliste[[#This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5" t="s">
        <v>169</v>
      </c>
      <c r="AR15" t="s">
        <v>169</v>
      </c>
      <c r="AS15" t="s">
        <v>204</v>
      </c>
      <c r="AT15" t="s">
        <v>205</v>
      </c>
      <c r="AU15" t="s">
        <v>206</v>
      </c>
    </row>
    <row r="16" spans="1:47" x14ac:dyDescent="0.25">
      <c r="P16" t="s">
        <v>306</v>
      </c>
      <c r="Q16" s="35"/>
      <c r="R16" s="1" t="s">
        <v>31</v>
      </c>
      <c r="S16" s="1" t="s">
        <v>14</v>
      </c>
      <c r="T16" s="1" t="s">
        <v>48</v>
      </c>
      <c r="X16" t="str">
        <f>IFERROR(INDEX(tabSource[Artikel],SMALL(tabSource[Liste],COUNTIF(tabSource[Liste],"=0")+ROW(A15)-1))," ")</f>
        <v xml:space="preserve"> </v>
      </c>
      <c r="Z16" s="3" t="str">
        <f t="shared" si="0"/>
        <v xml:space="preserve"> - </v>
      </c>
      <c r="AA16" s="3">
        <f>IFERROR(INDEX(tabArtikelliste[n],ROW(A15)),0)</f>
        <v>0</v>
      </c>
      <c r="AB16" s="3" t="str">
        <f t="shared" si="1"/>
        <v xml:space="preserve">x </v>
      </c>
      <c r="AC16" s="3">
        <f>IFERROR(INDEX(tabArtikelliste[A],ROW(A15)),0)</f>
        <v>0</v>
      </c>
      <c r="AD16" s="3" t="str">
        <f>CONCATENATE($Z16,IF($AA16&lt;&gt;"",$AA16,0),$AB16,IF($AC16&lt;&gt;"",$AC16,0),IFERROR(IF(tabB_Artikelliste[[#This Row],[Zus DEU]]="Bohrung","mm",""),""))</f>
        <v xml:space="preserve"> - 0x 0</v>
      </c>
      <c r="AE16" s="3" t="str">
        <f>IFERROR(INDEX(tabSource[Bohren],MATCH("&lt;"&amp;tabB_Artikelliste[[#This Row],[Artikel]]&amp;"&gt;",tabSource[ID],0))*tabB_Artikelliste[[#This Row],[Menge]],"")</f>
        <v/>
      </c>
      <c r="AF16" s="3" t="str">
        <f>IFERROR(INDEX(tabSource[Schweißen],MATCH("&lt;"&amp;tabB_Artikelliste[[#This Row],[Artikel]]&amp;"&gt;",tabSource[ID],0))*tabB_Artikelliste[[#This Row],[Menge]],"")</f>
        <v/>
      </c>
      <c r="AG16" s="48" t="e">
        <f>INDEX(tabB_ÜbersetzungBeschreibung[DEU],MATCH(INDEX(tabArtikelliste[Beschr.],ROW(A15)),tabB_ÜbersetzungBeschreibung[Eingabe],0))</f>
        <v>#REF!</v>
      </c>
      <c r="AH16" s="48" t="e">
        <f>INDEX(tabB_ÜbersetzungBeschreibung[ITA],MATCH(INDEX(tabArtikelliste[Beschr.],ROW(A15)),tabB_ÜbersetzungBeschreibung[Eingabe],0))</f>
        <v>#REF!</v>
      </c>
      <c r="AI16" s="48" t="e">
        <f>INDEX(tabB_ÜbersetzungBeschreibung[ENG],MATCH(INDEX(tabArtikelliste[Beschr.],ROW(A15)),tabB_ÜbersetzungBeschreibung[Eingabe],0))</f>
        <v>#REF!</v>
      </c>
      <c r="AJ16" s="48" t="e">
        <f>INDEX(tabB_ÜbersetzungBeschreibung[FRA],MATCH(INDEX(tabArtikelliste[Beschr.],ROW(A15)),tabB_ÜbersetzungBeschreibung[Eingabe],0))</f>
        <v>#REF!</v>
      </c>
      <c r="AK16" s="48" t="e">
        <f>INDEX(tabArtikelliste[Seite],ROW(A15))</f>
        <v>#REF!</v>
      </c>
      <c r="AL16" s="48" t="str">
        <f>IF(tabB_Artikelliste[[#This Row],[Artikel]]="Eck",CONCATENATE($Z16,IF($AA16&lt;&gt;"",$AA16,0),$AB16,IFERROR(IF(tabB_Artikelliste[[#This Row],[Zus DEU]]="Bohrung","mm",""),""))&amp;tabB_Artikelliste[[#This Row],[Zus DEU]]&amp;CHAR(10),
tabB_Artikelliste[[#This Row],[Liste]]&amp;IFERROR(" ("&amp;tabB_Artikelliste[[#This Row],[Zus DEU]]&amp;IF(tabB_Artikelliste[[#This Row],[Seite]]&gt;0,", "&amp;INDEX(tabB_Übersetzungen[DEU],MATCH("Seite",tabB_Übersetzungen[Eingabe],0))&amp;" "&amp;tabB_Artikelliste[[#This Row],[Seite]],"")&amp;")","")&amp;CHAR(10)
)</f>
        <v xml:space="preserve"> - 0x 0
</v>
      </c>
      <c r="AM16" s="48" t="str">
        <f>IF(tabB_Artikelliste[[#This Row],[Artikel]]="Eck",CONCATENATE($Z16,IF($AA16&lt;&gt;"",$AA16,0),$AB16,IFERROR(IF(tabB_Artikelliste[[#This Row],[Zus ITA]]="Bohrung","mm",""),""))&amp;tabB_Artikelliste[[#This Row],[Zus ITA]]&amp;CHAR(10),
tabB_Artikelliste[[#This Row],[Liste]]&amp;IFERROR(" ("&amp;tabB_Artikelliste[[#This Row],[Zus ITA]]&amp;IF(tabB_Artikelliste[[#This Row],[Seite]]&gt;0,", "&amp;INDEX(tabB_Übersetzungen[ITA],MATCH("Seite",tabB_Übersetzungen[Eingabe],0))&amp;" "&amp;tabB_Artikelliste[[#This Row],[Seite]],"")&amp;")","")&amp;CHAR(10)
)</f>
        <v xml:space="preserve"> - 0x 0
</v>
      </c>
      <c r="AN16" s="48" t="str">
        <f>IF(tabB_Artikelliste[[#This Row],[Artikel]]="Eck",CONCATENATE($Z16,IF($AA16&lt;&gt;"",$AA16,0),$AB16,IFERROR(IF(tabB_Artikelliste[[#This Row],[Zus ENG]]="Bohrung","mm",""),""))&amp;tabB_Artikelliste[[#This Row],[Zus ENG]]&amp;CHAR(10),
tabB_Artikelliste[[#This Row],[Liste]]&amp;IFERROR(" ("&amp;tabB_Artikelliste[[#This Row],[Zus ENG]]&amp;IF(tabB_Artikelliste[[#This Row],[Seite]]&gt;0,", "&amp;INDEX(tabB_Übersetzungen[ENG],MATCH("Seite",tabB_Übersetzungen[Eingabe],0))&amp;" "&amp;tabB_Artikelliste[[#This Row],[Seite]],"")&amp;")","")&amp;CHAR(10)
)</f>
        <v xml:space="preserve"> - 0x 0
</v>
      </c>
      <c r="AO16" s="48" t="str">
        <f>IF(tabB_Artikelliste[[#This Row],[Artikel]]="Eck",CONCATENATE($Z16,IF($AA16&lt;&gt;"",$AA16,0),$AB16,IFERROR(IF(tabB_Artikelliste[[#This Row],[Zus FRA]]="Bohrung","mm",""),""))&amp;tabB_Artikelliste[[#This Row],[Zus FRA]]&amp;CHAR(10),
tabB_Artikelliste[[#This Row],[Liste]]&amp;IFERROR(" ("&amp;tabB_Artikelliste[[#This Row],[Zus FRA]]&amp;IF(tabB_Artikelliste[[#This Row],[Seite]]&gt;0,", "&amp;INDEX(tabB_Übersetzungen[FRA],MATCH("Seite",tabB_Übersetzungen[Eingabe],0))&amp;" "&amp;tabB_Artikelliste[[#This Row],[Seite]],"")&amp;")","")&amp;CHAR(10)
)</f>
        <v xml:space="preserve"> - 0x 0
</v>
      </c>
      <c r="AQ16" t="s">
        <v>156</v>
      </c>
      <c r="AR16" t="s">
        <v>156</v>
      </c>
      <c r="AS16" t="s">
        <v>207</v>
      </c>
      <c r="AT16" t="s">
        <v>208</v>
      </c>
      <c r="AU16" t="s">
        <v>326</v>
      </c>
    </row>
    <row r="17" spans="16:47" x14ac:dyDescent="0.25">
      <c r="P17" t="s">
        <v>307</v>
      </c>
      <c r="R17" s="1" t="s">
        <v>32</v>
      </c>
      <c r="S17" s="1" t="s">
        <v>14</v>
      </c>
      <c r="T17" s="1" t="s">
        <v>71</v>
      </c>
      <c r="X17" t="str">
        <f>IFERROR(INDEX(tabSource[Artikel],SMALL(tabSource[Liste],COUNTIF(tabSource[Liste],"=0")+ROW(A16)-1))," ")</f>
        <v xml:space="preserve"> </v>
      </c>
      <c r="AQ17" t="s">
        <v>170</v>
      </c>
      <c r="AR17" t="s">
        <v>170</v>
      </c>
      <c r="AS17" t="s">
        <v>202</v>
      </c>
      <c r="AT17" t="s">
        <v>203</v>
      </c>
      <c r="AU17" t="s">
        <v>209</v>
      </c>
    </row>
    <row r="18" spans="16:47" x14ac:dyDescent="0.25">
      <c r="P18" t="s">
        <v>308</v>
      </c>
      <c r="R18" s="1" t="s">
        <v>33</v>
      </c>
      <c r="S18" s="1" t="s">
        <v>14</v>
      </c>
      <c r="T18" s="1" t="s">
        <v>72</v>
      </c>
      <c r="X18" t="str">
        <f>IFERROR(INDEX(tabSource[Artikel],SMALL(tabSource[Liste],COUNTIF(tabSource[Liste],"=0")+ROW(A17)-1))," ")</f>
        <v xml:space="preserve"> </v>
      </c>
      <c r="Z18" s="2" t="s">
        <v>53</v>
      </c>
      <c r="AA18" s="2" t="s">
        <v>36</v>
      </c>
      <c r="AB18" s="2" t="s">
        <v>47</v>
      </c>
      <c r="AC18" s="2" t="s">
        <v>8</v>
      </c>
      <c r="AD18" s="2" t="s">
        <v>46</v>
      </c>
      <c r="AQ18" t="s">
        <v>171</v>
      </c>
      <c r="AR18" t="s">
        <v>171</v>
      </c>
      <c r="AS18" t="s">
        <v>207</v>
      </c>
      <c r="AT18" t="s">
        <v>208</v>
      </c>
      <c r="AU18" t="s">
        <v>210</v>
      </c>
    </row>
    <row r="19" spans="16:47" x14ac:dyDescent="0.25">
      <c r="P19" t="s">
        <v>309</v>
      </c>
      <c r="R19" s="1" t="s">
        <v>34</v>
      </c>
      <c r="S19" s="1" t="s">
        <v>14</v>
      </c>
      <c r="T19" s="1" t="s">
        <v>73</v>
      </c>
      <c r="X19" t="str">
        <f>IFERROR(INDEX(tabSource[Artikel],SMALL(tabSource[Liste],COUNTIF(tabSource[Liste],"=0")+ROW(A18)-1))," ")</f>
        <v xml:space="preserve"> </v>
      </c>
      <c r="Z19" s="3" t="str">
        <f>" - "</f>
        <v xml:space="preserve"> - </v>
      </c>
      <c r="AA19" s="3">
        <f>IFERROR(INDEX(tabExtraBearbeitung[n],ROW(A1)),0)</f>
        <v>0</v>
      </c>
      <c r="AB19" s="3" t="str">
        <f>"x "</f>
        <v xml:space="preserve">x </v>
      </c>
      <c r="AC19" s="3">
        <f>IFERROR(INDEX(tabExtraBearbeitung[Spalte1],ROW(A1)),0)</f>
        <v>0</v>
      </c>
      <c r="AD19" s="3" t="str">
        <f>CONCATENATE($Z19,IF($AC19&lt;&gt;"",$AC19,0),CHAR(10))</f>
        <v xml:space="preserve"> - 0
</v>
      </c>
      <c r="AQ19" t="s">
        <v>164</v>
      </c>
      <c r="AR19" t="s">
        <v>164</v>
      </c>
      <c r="AS19" t="s">
        <v>211</v>
      </c>
      <c r="AT19" t="s">
        <v>340</v>
      </c>
      <c r="AU19" t="s">
        <v>376</v>
      </c>
    </row>
    <row r="20" spans="16:47" x14ac:dyDescent="0.25">
      <c r="P20" t="s">
        <v>310</v>
      </c>
      <c r="R20" s="1" t="s">
        <v>17</v>
      </c>
      <c r="S20" s="1" t="s">
        <v>15</v>
      </c>
      <c r="T20" s="1" t="s">
        <v>75</v>
      </c>
      <c r="X20" t="str">
        <f>IFERROR(INDEX(tabSource[Artikel],SMALL(tabSource[Liste],COUNTIF(tabSource[Liste],"=0")+ROW(A19)-1))," ")</f>
        <v xml:space="preserve"> </v>
      </c>
      <c r="Z20" s="3" t="str">
        <f>" - "</f>
        <v xml:space="preserve"> - </v>
      </c>
      <c r="AA20" s="3">
        <f>IFERROR(INDEX(tabExtraBearbeitung[n],ROW(A2)),0)</f>
        <v>0</v>
      </c>
      <c r="AB20" s="3" t="str">
        <f>"x "</f>
        <v xml:space="preserve">x </v>
      </c>
      <c r="AC20" s="3">
        <f>IFERROR(INDEX(tabExtraBearbeitung[Spalte1],ROW(A2)),0)</f>
        <v>0</v>
      </c>
      <c r="AD20" s="3" t="str">
        <f>CONCATENATE($Z20,IF($AC20&lt;&gt;"",$AC20,0),CHAR(10))</f>
        <v xml:space="preserve"> - 0
</v>
      </c>
      <c r="AQ20" t="s">
        <v>174</v>
      </c>
      <c r="AR20" t="s">
        <v>174</v>
      </c>
      <c r="AS20" t="s">
        <v>212</v>
      </c>
      <c r="AT20" t="s">
        <v>342</v>
      </c>
      <c r="AU20" t="s">
        <v>213</v>
      </c>
    </row>
    <row r="21" spans="16:47" x14ac:dyDescent="0.25">
      <c r="P21" t="s">
        <v>311</v>
      </c>
      <c r="R21" s="1" t="s">
        <v>18</v>
      </c>
      <c r="S21" s="1" t="s">
        <v>15</v>
      </c>
      <c r="T21" s="1" t="s">
        <v>76</v>
      </c>
      <c r="X21" t="str">
        <f>IFERROR(INDEX(tabSource[Artikel],SMALL(tabSource[Liste],COUNTIF(tabSource[Liste],"=0")+ROW(A20)-1))," ")</f>
        <v xml:space="preserve"> </v>
      </c>
      <c r="Z21" s="3" t="str">
        <f>" - "</f>
        <v xml:space="preserve"> - </v>
      </c>
      <c r="AA21" s="3">
        <f>IFERROR(INDEX(tabExtraBearbeitung[n],ROW(A3)),0)</f>
        <v>0</v>
      </c>
      <c r="AB21" s="3" t="str">
        <f>"x "</f>
        <v xml:space="preserve">x </v>
      </c>
      <c r="AC21" s="3">
        <f>IFERROR(INDEX(tabExtraBearbeitung[Spalte1],ROW(A3)),0)</f>
        <v>0</v>
      </c>
      <c r="AD21" s="3" t="str">
        <f>CONCATENATE($Z21,IF($AC21&lt;&gt;"",$AC21,0),CHAR(10))</f>
        <v xml:space="preserve"> - 0
</v>
      </c>
      <c r="AQ21" t="s">
        <v>148</v>
      </c>
      <c r="AR21" t="s">
        <v>148</v>
      </c>
      <c r="AS21" t="s">
        <v>214</v>
      </c>
      <c r="AT21" t="s">
        <v>215</v>
      </c>
      <c r="AU21" t="s">
        <v>216</v>
      </c>
    </row>
    <row r="22" spans="16:47" x14ac:dyDescent="0.25">
      <c r="P22" t="s">
        <v>312</v>
      </c>
      <c r="R22" s="1" t="s">
        <v>19</v>
      </c>
      <c r="S22" s="1" t="s">
        <v>15</v>
      </c>
      <c r="T22" s="1" t="s">
        <v>77</v>
      </c>
      <c r="X22" t="str">
        <f>IFERROR(INDEX(tabSource[Artikel],SMALL(tabSource[Liste],COUNTIF(tabSource[Liste],"=0")+ROW(A21)-1))," ")</f>
        <v xml:space="preserve"> </v>
      </c>
      <c r="Z22" s="3" t="str">
        <f>" - "</f>
        <v xml:space="preserve"> - </v>
      </c>
      <c r="AA22" s="3">
        <f>IFERROR(INDEX(tabExtraBearbeitung[n],ROW(A4)),0)</f>
        <v>0</v>
      </c>
      <c r="AB22" s="3" t="str">
        <f>"x "</f>
        <v xml:space="preserve">x </v>
      </c>
      <c r="AC22" s="3">
        <f>IFERROR(INDEX(tabExtraBearbeitung[Spalte1],ROW(A4)),0)</f>
        <v>0</v>
      </c>
      <c r="AD22" s="3" t="str">
        <f>CONCATENATE($Z22,IF($AC22&lt;&gt;"",$AC22,0),CHAR(10))</f>
        <v xml:space="preserve"> - 0
</v>
      </c>
      <c r="AQ22" t="s">
        <v>175</v>
      </c>
      <c r="AR22" t="s">
        <v>175</v>
      </c>
      <c r="AS22" t="s">
        <v>217</v>
      </c>
      <c r="AT22" t="s">
        <v>343</v>
      </c>
      <c r="AU22" t="s">
        <v>218</v>
      </c>
    </row>
    <row r="23" spans="16:47" x14ac:dyDescent="0.25">
      <c r="P23" t="s">
        <v>313</v>
      </c>
      <c r="R23" s="1" t="s">
        <v>20</v>
      </c>
      <c r="S23" s="1" t="s">
        <v>15</v>
      </c>
      <c r="T23" s="1" t="s">
        <v>48</v>
      </c>
      <c r="X23" t="str">
        <f>IFERROR(INDEX(tabSource[Artikel],SMALL(tabSource[Liste],COUNTIF(tabSource[Liste],"=0")+ROW(A22)-1))," ")</f>
        <v xml:space="preserve"> </v>
      </c>
      <c r="Z23" s="3" t="str">
        <f>" - "</f>
        <v xml:space="preserve"> - </v>
      </c>
      <c r="AA23" s="3">
        <f>IFERROR(INDEX(tabExtraBearbeitung[n],ROW(A5)),0)</f>
        <v>0</v>
      </c>
      <c r="AB23" s="3" t="str">
        <f>"x "</f>
        <v xml:space="preserve">x </v>
      </c>
      <c r="AC23" s="3">
        <f>IFERROR(INDEX(tabExtraBearbeitung[Spalte1],ROW(A5)),0)</f>
        <v>0</v>
      </c>
      <c r="AD23" s="3" t="str">
        <f>CONCATENATE($Z23,IF($AC23&lt;&gt;"",$AC23,0),CHAR(10))</f>
        <v xml:space="preserve"> - 0
</v>
      </c>
      <c r="AQ23" t="s">
        <v>152</v>
      </c>
      <c r="AR23" t="s">
        <v>152</v>
      </c>
      <c r="AS23" t="s">
        <v>219</v>
      </c>
      <c r="AT23" t="s">
        <v>220</v>
      </c>
      <c r="AU23" t="s">
        <v>377</v>
      </c>
    </row>
    <row r="24" spans="16:47" x14ac:dyDescent="0.25">
      <c r="P24" t="s">
        <v>314</v>
      </c>
      <c r="R24" s="1" t="s">
        <v>21</v>
      </c>
      <c r="S24" s="1" t="s">
        <v>15</v>
      </c>
      <c r="T24" s="1" t="s">
        <v>48</v>
      </c>
      <c r="X24" t="str">
        <f>IFERROR(INDEX(tabSource[Artikel],SMALL(tabSource[Liste],COUNTIF(tabSource[Liste],"=0")+ROW(A23)-1))," ")</f>
        <v xml:space="preserve"> </v>
      </c>
      <c r="AQ24" t="s">
        <v>362</v>
      </c>
      <c r="AR24" t="s">
        <v>362</v>
      </c>
      <c r="AS24" t="s">
        <v>363</v>
      </c>
      <c r="AT24" t="s">
        <v>364</v>
      </c>
      <c r="AU24" t="s">
        <v>378</v>
      </c>
    </row>
    <row r="25" spans="16:47" x14ac:dyDescent="0.25">
      <c r="P25" t="s">
        <v>315</v>
      </c>
      <c r="R25" s="1" t="s">
        <v>22</v>
      </c>
      <c r="S25" s="1" t="s">
        <v>15</v>
      </c>
      <c r="T25" s="1" t="s">
        <v>48</v>
      </c>
      <c r="X25" t="str">
        <f>IFERROR(INDEX(tabSource[Artikel],SMALL(tabSource[Liste],COUNTIF(tabSource[Liste],"=0")+ROW(A24)-1))," ")</f>
        <v xml:space="preserve"> </v>
      </c>
      <c r="Z25" s="4" t="s">
        <v>56</v>
      </c>
      <c r="AA25" s="4" t="s">
        <v>43</v>
      </c>
      <c r="AB25" s="4" t="s">
        <v>45</v>
      </c>
      <c r="AC25" s="4" t="s">
        <v>57</v>
      </c>
      <c r="AD25" t="s">
        <v>121</v>
      </c>
      <c r="AF25" t="s">
        <v>62</v>
      </c>
      <c r="AG25" t="e">
        <f>Text.DEU</f>
        <v>#N/A</v>
      </c>
      <c r="AQ25" t="s">
        <v>143</v>
      </c>
      <c r="AR25" t="s">
        <v>143</v>
      </c>
      <c r="AS25" t="s">
        <v>221</v>
      </c>
      <c r="AT25" t="s">
        <v>222</v>
      </c>
      <c r="AU25" t="s">
        <v>223</v>
      </c>
    </row>
    <row r="26" spans="16:47" x14ac:dyDescent="0.25">
      <c r="P26" t="s">
        <v>316</v>
      </c>
      <c r="R26" s="1" t="s">
        <v>23</v>
      </c>
      <c r="S26" s="1" t="s">
        <v>15</v>
      </c>
      <c r="T26" s="1" t="s">
        <v>48</v>
      </c>
      <c r="X26" t="str">
        <f>IFERROR(INDEX(tabSource[Artikel],SMALL(tabSource[Liste],COUNTIF(tabSource[Liste],"=0")+ROW(A25)-1))," ")</f>
        <v xml:space="preserve"> </v>
      </c>
      <c r="Z26" s="1" t="s">
        <v>14</v>
      </c>
      <c r="AA26" s="1" t="str">
        <f>"V2A-1.4301"</f>
        <v>V2A-1.4301</v>
      </c>
      <c r="AB26" s="1" t="str">
        <f>"AISI 304-1.4301"</f>
        <v>AISI 304-1.4301</v>
      </c>
      <c r="AC26" s="5" t="str">
        <f>"1.4301"</f>
        <v>1.4301</v>
      </c>
      <c r="AD26" t="s">
        <v>128</v>
      </c>
      <c r="AF26" t="s">
        <v>61</v>
      </c>
      <c r="AG26" s="34" t="e">
        <f>Text.ITA</f>
        <v>#N/A</v>
      </c>
      <c r="AQ26" t="s">
        <v>357</v>
      </c>
      <c r="AR26" t="s">
        <v>357</v>
      </c>
      <c r="AS26" t="s">
        <v>369</v>
      </c>
      <c r="AT26" t="s">
        <v>222</v>
      </c>
      <c r="AU26" t="s">
        <v>379</v>
      </c>
    </row>
    <row r="27" spans="16:47" x14ac:dyDescent="0.25">
      <c r="P27" t="s">
        <v>317</v>
      </c>
      <c r="R27" s="1" t="s">
        <v>24</v>
      </c>
      <c r="S27" s="1" t="s">
        <v>15</v>
      </c>
      <c r="T27" s="1" t="s">
        <v>78</v>
      </c>
      <c r="X27" t="str">
        <f>IFERROR(INDEX(tabSource[Artikel],SMALL(tabSource[Liste],COUNTIF(tabSource[Liste],"=0")+ROW(A26)-1))," ")</f>
        <v xml:space="preserve"> </v>
      </c>
      <c r="Z27" s="1" t="s">
        <v>15</v>
      </c>
      <c r="AA27" s="1" t="str">
        <f>"V4A-14401"</f>
        <v>V4A-14401</v>
      </c>
      <c r="AB27" s="1" t="str">
        <f>"AISI 316-1.4401"</f>
        <v>AISI 316-1.4401</v>
      </c>
      <c r="AC27" s="5" t="str">
        <f>"1.4401"</f>
        <v>1.4401</v>
      </c>
      <c r="AD27" t="s">
        <v>129</v>
      </c>
      <c r="AF27" t="s">
        <v>60</v>
      </c>
      <c r="AG27" s="34" t="e">
        <f>Text.ENG</f>
        <v>#N/A</v>
      </c>
      <c r="AQ27" t="s">
        <v>184</v>
      </c>
      <c r="AR27" t="s">
        <v>184</v>
      </c>
      <c r="AS27" t="s">
        <v>224</v>
      </c>
      <c r="AT27" t="s">
        <v>349</v>
      </c>
      <c r="AU27" t="s">
        <v>332</v>
      </c>
    </row>
    <row r="28" spans="16:47" x14ac:dyDescent="0.25">
      <c r="P28" t="s">
        <v>318</v>
      </c>
      <c r="R28" s="1" t="s">
        <v>25</v>
      </c>
      <c r="S28" s="1" t="s">
        <v>15</v>
      </c>
      <c r="T28" s="1" t="s">
        <v>48</v>
      </c>
      <c r="X28" t="str">
        <f>IFERROR(INDEX(tabSource[Artikel],SMALL(tabSource[Liste],COUNTIF(tabSource[Liste],"=0")+ROW(A27)-1))," ")</f>
        <v xml:space="preserve"> </v>
      </c>
      <c r="Z28" s="1" t="s">
        <v>16</v>
      </c>
      <c r="AA28" s="1" t="str">
        <f>"mit 240-er Korn geschliffen"</f>
        <v>mit 240-er Korn geschliffen</v>
      </c>
      <c r="AB28" s="1" t="str">
        <f>"satinato grana 240"</f>
        <v>satinato grana 240</v>
      </c>
      <c r="AC28" s="1" t="str">
        <f>"brushed with grain 240"</f>
        <v>brushed with grain 240</v>
      </c>
      <c r="AD28" t="str">
        <f>"brossé GR240"</f>
        <v>brossé GR240</v>
      </c>
      <c r="AF28" t="s">
        <v>124</v>
      </c>
      <c r="AG28" s="34" t="e">
        <f>Text.FRA</f>
        <v>#N/A</v>
      </c>
      <c r="AQ28" t="s">
        <v>176</v>
      </c>
      <c r="AR28" t="s">
        <v>176</v>
      </c>
      <c r="AS28" t="s">
        <v>225</v>
      </c>
      <c r="AT28" t="s">
        <v>344</v>
      </c>
      <c r="AU28" t="s">
        <v>226</v>
      </c>
    </row>
    <row r="29" spans="16:47" x14ac:dyDescent="0.25">
      <c r="R29" s="1" t="s">
        <v>26</v>
      </c>
      <c r="S29" s="1" t="s">
        <v>15</v>
      </c>
      <c r="T29" s="1" t="s">
        <v>48</v>
      </c>
      <c r="X29" t="str">
        <f>IFERROR(INDEX(tabSource[Artikel],SMALL(tabSource[Liste],COUNTIF(tabSource[Liste],"=0")+ROW(A28)-1))," ")</f>
        <v xml:space="preserve"> </v>
      </c>
      <c r="Z29" s="1" t="s">
        <v>7</v>
      </c>
      <c r="AA29" s="1" t="s">
        <v>7</v>
      </c>
      <c r="AB29" s="1" t="s">
        <v>58</v>
      </c>
      <c r="AC29" s="1" t="s">
        <v>59</v>
      </c>
      <c r="AD29" t="s">
        <v>126</v>
      </c>
      <c r="AF29" t="s">
        <v>86</v>
      </c>
      <c r="AG29" t="str">
        <f>IFERROR(CHOOSE(MATCH(Sprache.Ausgabe,Filter.Sprache,0),Text.DEU,Text.ITA,Text.ENG,Text.FRA),"")</f>
        <v/>
      </c>
      <c r="AQ29" t="s">
        <v>410</v>
      </c>
      <c r="AR29" t="s">
        <v>416</v>
      </c>
      <c r="AS29" t="s">
        <v>417</v>
      </c>
      <c r="AT29" s="37"/>
      <c r="AU29" t="s">
        <v>418</v>
      </c>
    </row>
    <row r="30" spans="16:47" x14ac:dyDescent="0.25">
      <c r="R30" s="1" t="s">
        <v>27</v>
      </c>
      <c r="S30" s="1" t="s">
        <v>15</v>
      </c>
      <c r="T30" s="1" t="s">
        <v>48</v>
      </c>
      <c r="X30" t="str">
        <f>IFERROR(INDEX(tabSource[Artikel],SMALL(tabSource[Liste],COUNTIF(tabSource[Liste],"=0")+ROW(A29)-1))," ")</f>
        <v xml:space="preserve"> </v>
      </c>
      <c r="Z30" s="1" t="s">
        <v>83</v>
      </c>
      <c r="AA30" s="1" t="s">
        <v>84</v>
      </c>
      <c r="AB30" s="1" t="s">
        <v>83</v>
      </c>
      <c r="AC30" s="1" t="s">
        <v>85</v>
      </c>
      <c r="AD30" t="s">
        <v>127</v>
      </c>
      <c r="AQ30" t="s">
        <v>355</v>
      </c>
      <c r="AR30" t="s">
        <v>355</v>
      </c>
      <c r="AS30" t="s">
        <v>366</v>
      </c>
      <c r="AT30" t="s">
        <v>380</v>
      </c>
      <c r="AU30" t="s">
        <v>381</v>
      </c>
    </row>
    <row r="31" spans="16:47" x14ac:dyDescent="0.25">
      <c r="R31" s="1" t="s">
        <v>28</v>
      </c>
      <c r="S31" s="1" t="s">
        <v>15</v>
      </c>
      <c r="T31" s="1" t="s">
        <v>48</v>
      </c>
      <c r="X31" t="str">
        <f>IFERROR(INDEX(tabSource[Artikel],SMALL(tabSource[Liste],COUNTIF(tabSource[Liste],"=0")+ROW(A30)-1))," ")</f>
        <v xml:space="preserve"> </v>
      </c>
      <c r="Z31" s="5" t="s">
        <v>48</v>
      </c>
      <c r="AA31" s="1"/>
      <c r="AB31" s="1"/>
      <c r="AC31" s="1"/>
      <c r="AQ31" t="s">
        <v>356</v>
      </c>
      <c r="AR31" t="s">
        <v>356</v>
      </c>
      <c r="AS31" t="s">
        <v>367</v>
      </c>
      <c r="AT31" t="s">
        <v>368</v>
      </c>
      <c r="AU31" t="s">
        <v>382</v>
      </c>
    </row>
    <row r="32" spans="16:47" x14ac:dyDescent="0.25">
      <c r="R32" s="1" t="s">
        <v>29</v>
      </c>
      <c r="S32" s="1" t="s">
        <v>15</v>
      </c>
      <c r="T32" s="1" t="s">
        <v>48</v>
      </c>
      <c r="X32" t="str">
        <f>IFERROR(INDEX(tabSource[Artikel],SMALL(tabSource[Liste],COUNTIF(tabSource[Liste],"=0")+ROW(A31)-1))," ")</f>
        <v xml:space="preserve"> </v>
      </c>
      <c r="Z32" t="s">
        <v>186</v>
      </c>
      <c r="AA32" t="s">
        <v>261</v>
      </c>
      <c r="AB32" t="s">
        <v>262</v>
      </c>
      <c r="AC32" t="s">
        <v>262</v>
      </c>
      <c r="AD32" t="s">
        <v>262</v>
      </c>
      <c r="AQ32" t="s">
        <v>163</v>
      </c>
      <c r="AR32" t="s">
        <v>163</v>
      </c>
      <c r="AS32" t="s">
        <v>227</v>
      </c>
      <c r="AT32" t="s">
        <v>339</v>
      </c>
      <c r="AU32" t="s">
        <v>383</v>
      </c>
    </row>
    <row r="33" spans="18:47" x14ac:dyDescent="0.25">
      <c r="R33" s="1" t="s">
        <v>30</v>
      </c>
      <c r="S33" s="1" t="s">
        <v>15</v>
      </c>
      <c r="T33" s="1" t="s">
        <v>48</v>
      </c>
      <c r="X33" t="str">
        <f>IFERROR(INDEX(tabSource[Artikel],SMALL(tabSource[Liste],COUNTIF(tabSource[Liste],"=0")+ROW(A32)-1))," ")</f>
        <v xml:space="preserve"> </v>
      </c>
      <c r="Z33" t="s">
        <v>273</v>
      </c>
      <c r="AA33" t="s">
        <v>273</v>
      </c>
      <c r="AB33" t="s">
        <v>280</v>
      </c>
      <c r="AC33" t="s">
        <v>281</v>
      </c>
      <c r="AD33" t="s">
        <v>282</v>
      </c>
      <c r="AQ33" t="s">
        <v>178</v>
      </c>
      <c r="AR33" t="s">
        <v>178</v>
      </c>
      <c r="AS33" t="s">
        <v>228</v>
      </c>
      <c r="AT33" t="s">
        <v>346</v>
      </c>
      <c r="AU33" t="s">
        <v>229</v>
      </c>
    </row>
    <row r="34" spans="18:47" x14ac:dyDescent="0.25">
      <c r="R34" s="1" t="s">
        <v>31</v>
      </c>
      <c r="S34" s="1" t="s">
        <v>15</v>
      </c>
      <c r="T34" s="1" t="s">
        <v>48</v>
      </c>
      <c r="X34" t="str">
        <f>IFERROR(INDEX(tabSource[Artikel],SMALL(tabSource[Liste],COUNTIF(tabSource[Liste],"=0")+ROW(A33)-1))," ")</f>
        <v xml:space="preserve"> </v>
      </c>
      <c r="Z34" t="s">
        <v>274</v>
      </c>
      <c r="AA34" t="s">
        <v>274</v>
      </c>
      <c r="AB34" t="s">
        <v>283</v>
      </c>
      <c r="AC34" t="s">
        <v>284</v>
      </c>
      <c r="AD34" t="s">
        <v>322</v>
      </c>
      <c r="AQ34" t="s">
        <v>177</v>
      </c>
      <c r="AR34" t="s">
        <v>177</v>
      </c>
      <c r="AS34" t="s">
        <v>230</v>
      </c>
      <c r="AT34" t="s">
        <v>345</v>
      </c>
      <c r="AU34" t="s">
        <v>231</v>
      </c>
    </row>
    <row r="35" spans="18:47" x14ac:dyDescent="0.25">
      <c r="R35" s="1" t="s">
        <v>32</v>
      </c>
      <c r="S35" s="1" t="s">
        <v>15</v>
      </c>
      <c r="T35" s="1" t="s">
        <v>79</v>
      </c>
      <c r="X35" t="str">
        <f>IFERROR(INDEX(tabSource[Artikel],SMALL(tabSource[Liste],COUNTIF(tabSource[Liste],"=0")+ROW(A34)-1))," ")</f>
        <v xml:space="preserve"> </v>
      </c>
      <c r="Z35" t="s">
        <v>275</v>
      </c>
      <c r="AA35" t="s">
        <v>275</v>
      </c>
      <c r="AB35" t="s">
        <v>285</v>
      </c>
      <c r="AC35" t="s">
        <v>286</v>
      </c>
      <c r="AD35" t="s">
        <v>323</v>
      </c>
      <c r="AQ35" t="s">
        <v>172</v>
      </c>
      <c r="AR35" t="s">
        <v>172</v>
      </c>
      <c r="AS35" t="s">
        <v>232</v>
      </c>
      <c r="AT35" t="s">
        <v>341</v>
      </c>
      <c r="AU35" t="s">
        <v>328</v>
      </c>
    </row>
    <row r="36" spans="18:47" x14ac:dyDescent="0.25">
      <c r="R36" s="1" t="s">
        <v>33</v>
      </c>
      <c r="S36" s="1" t="s">
        <v>15</v>
      </c>
      <c r="T36" s="1" t="s">
        <v>80</v>
      </c>
      <c r="X36" t="str">
        <f>IFERROR(INDEX(tabSource[Artikel],SMALL(tabSource[Liste],COUNTIF(tabSource[Liste],"=0")+ROW(A35)-1))," ")</f>
        <v xml:space="preserve"> </v>
      </c>
      <c r="Z36" t="s">
        <v>276</v>
      </c>
      <c r="AA36" t="s">
        <v>276</v>
      </c>
      <c r="AB36" t="s">
        <v>287</v>
      </c>
      <c r="AC36" t="s">
        <v>288</v>
      </c>
      <c r="AD36" t="s">
        <v>319</v>
      </c>
      <c r="AQ36" t="s">
        <v>149</v>
      </c>
      <c r="AR36" t="s">
        <v>149</v>
      </c>
      <c r="AS36" t="s">
        <v>233</v>
      </c>
      <c r="AT36" t="s">
        <v>334</v>
      </c>
      <c r="AU36" t="s">
        <v>384</v>
      </c>
    </row>
    <row r="37" spans="18:47" x14ac:dyDescent="0.25">
      <c r="R37" s="1" t="s">
        <v>34</v>
      </c>
      <c r="S37" s="1" t="s">
        <v>15</v>
      </c>
      <c r="T37" s="1" t="s">
        <v>81</v>
      </c>
      <c r="X37" t="str">
        <f>IFERROR(INDEX(tabSource[Artikel],SMALL(tabSource[Liste],COUNTIF(tabSource[Liste],"=0")+ROW(A36)-1))," ")</f>
        <v xml:space="preserve"> </v>
      </c>
      <c r="Z37" t="s">
        <v>277</v>
      </c>
      <c r="AA37" t="s">
        <v>277</v>
      </c>
      <c r="AB37" t="s">
        <v>289</v>
      </c>
      <c r="AC37" t="s">
        <v>290</v>
      </c>
      <c r="AD37" t="s">
        <v>320</v>
      </c>
      <c r="AQ37" t="s">
        <v>353</v>
      </c>
      <c r="AR37" t="s">
        <v>353</v>
      </c>
      <c r="AS37" t="s">
        <v>385</v>
      </c>
      <c r="AT37" t="s">
        <v>386</v>
      </c>
      <c r="AU37" t="s">
        <v>387</v>
      </c>
    </row>
    <row r="38" spans="18:47" x14ac:dyDescent="0.25">
      <c r="R38" s="1" t="s">
        <v>426</v>
      </c>
      <c r="S38" s="1" t="s">
        <v>14</v>
      </c>
      <c r="T38" s="1" t="s">
        <v>76</v>
      </c>
      <c r="X38" t="str">
        <f>IFERROR(INDEX(tabSource[Artikel],SMALL(tabSource[Liste],COUNTIF(tabSource[Liste],"=0")+ROW(A37)-1))," ")</f>
        <v xml:space="preserve"> </v>
      </c>
      <c r="Z38" t="s">
        <v>278</v>
      </c>
      <c r="AA38" t="s">
        <v>278</v>
      </c>
      <c r="AB38" t="s">
        <v>291</v>
      </c>
      <c r="AC38" t="s">
        <v>292</v>
      </c>
      <c r="AD38" t="s">
        <v>321</v>
      </c>
      <c r="AQ38" t="s">
        <v>159</v>
      </c>
      <c r="AR38" t="s">
        <v>159</v>
      </c>
      <c r="AS38" t="s">
        <v>234</v>
      </c>
      <c r="AT38" t="s">
        <v>338</v>
      </c>
      <c r="AU38" t="s">
        <v>235</v>
      </c>
    </row>
    <row r="39" spans="18:47" x14ac:dyDescent="0.25">
      <c r="R39" s="1" t="s">
        <v>427</v>
      </c>
      <c r="S39" s="1" t="s">
        <v>14</v>
      </c>
      <c r="T39" s="1" t="s">
        <v>76</v>
      </c>
      <c r="X39" t="str">
        <f>IFERROR(INDEX(tabSource[Artikel],SMALL(tabSource[Liste],COUNTIF(tabSource[Liste],"=0")+ROW(A38)-1))," ")</f>
        <v xml:space="preserve"> </v>
      </c>
      <c r="AQ39" t="s">
        <v>411</v>
      </c>
      <c r="AR39" t="s">
        <v>411</v>
      </c>
      <c r="AS39" t="s">
        <v>413</v>
      </c>
      <c r="AT39" t="s">
        <v>414</v>
      </c>
      <c r="AU39" t="s">
        <v>415</v>
      </c>
    </row>
    <row r="40" spans="18:47" x14ac:dyDescent="0.25">
      <c r="R40" t="s">
        <v>82</v>
      </c>
      <c r="T40" t="str">
        <f t="array" ref="T40">IF(SUM(tabB_Artikelliste[Schweißen])&gt;0,INDEX(tabB_WPS[WPS],MATCH(Eingabe.DurchmesserStärke&amp;Eingabe.Material,tabB_WPS[Østeher]&amp;tabB_WPS[Material],0)),"")</f>
        <v/>
      </c>
      <c r="X40" t="str">
        <f>IFERROR(INDEX(tabSource[Artikel],SMALL(tabSource[Liste],COUNTIF(tabSource[Liste],"=0")+ROW(A39)-1))," ")</f>
        <v xml:space="preserve"> </v>
      </c>
      <c r="AA40" t="s">
        <v>43</v>
      </c>
      <c r="AB40" t="s">
        <v>45</v>
      </c>
      <c r="AC40" t="s">
        <v>57</v>
      </c>
      <c r="AD40" t="s">
        <v>121</v>
      </c>
      <c r="AQ40" t="s">
        <v>160</v>
      </c>
      <c r="AR40" t="s">
        <v>160</v>
      </c>
      <c r="AS40" t="s">
        <v>234</v>
      </c>
      <c r="AT40" t="s">
        <v>338</v>
      </c>
      <c r="AU40" t="s">
        <v>235</v>
      </c>
    </row>
    <row r="41" spans="18:47" x14ac:dyDescent="0.25">
      <c r="X41" t="str">
        <f>IFERROR(INDEX(tabSource[Artikel],SMALL(tabSource[Liste],COUNTIF(tabSource[Liste],"=0")+ROW(A40)-1))," ")</f>
        <v xml:space="preserve"> </v>
      </c>
      <c r="AA41" t="s">
        <v>114</v>
      </c>
      <c r="AB41" t="s">
        <v>91</v>
      </c>
      <c r="AC41" t="s">
        <v>93</v>
      </c>
      <c r="AD41" t="s">
        <v>130</v>
      </c>
      <c r="AQ41" t="s">
        <v>145</v>
      </c>
      <c r="AR41" t="s">
        <v>145</v>
      </c>
      <c r="AS41" t="s">
        <v>236</v>
      </c>
      <c r="AT41" t="s">
        <v>237</v>
      </c>
      <c r="AU41" t="s">
        <v>360</v>
      </c>
    </row>
    <row r="42" spans="18:47" x14ac:dyDescent="0.25">
      <c r="X42" t="str">
        <f>IFERROR(INDEX(tabSource[Artikel],SMALL(tabSource[Liste],COUNTIF(tabSource[Liste],"=0")+ROW(A41)-1))," ")</f>
        <v xml:space="preserve"> </v>
      </c>
      <c r="AA42" t="s">
        <v>94</v>
      </c>
      <c r="AB42" t="s">
        <v>92</v>
      </c>
      <c r="AC42" t="s">
        <v>95</v>
      </c>
      <c r="AD42" t="s">
        <v>131</v>
      </c>
      <c r="AQ42" t="s">
        <v>179</v>
      </c>
      <c r="AR42" t="s">
        <v>179</v>
      </c>
      <c r="AS42" t="s">
        <v>238</v>
      </c>
      <c r="AT42" t="s">
        <v>347</v>
      </c>
      <c r="AU42" t="s">
        <v>330</v>
      </c>
    </row>
    <row r="43" spans="18:47" x14ac:dyDescent="0.25">
      <c r="X43" t="str">
        <f>IFERROR(INDEX(tabSource[Artikel],SMALL(tabSource[Liste],COUNTIF(tabSource[Liste],"=0")+ROW(A42)-1))," ")</f>
        <v xml:space="preserve"> </v>
      </c>
      <c r="AQ43" t="s">
        <v>183</v>
      </c>
      <c r="AR43" t="s">
        <v>183</v>
      </c>
      <c r="AS43" t="s">
        <v>239</v>
      </c>
      <c r="AT43" t="s">
        <v>348</v>
      </c>
      <c r="AU43" t="s">
        <v>331</v>
      </c>
    </row>
    <row r="44" spans="18:47" x14ac:dyDescent="0.25">
      <c r="X44" t="str">
        <f>IFERROR(INDEX(tabSource[Artikel],SMALL(tabSource[Liste],COUNTIF(tabSource[Liste],"=0")+ROW(A43)-1))," ")</f>
        <v xml:space="preserve"> </v>
      </c>
      <c r="AA44" t="s">
        <v>43</v>
      </c>
      <c r="AB44" t="s">
        <v>45</v>
      </c>
      <c r="AC44" t="s">
        <v>57</v>
      </c>
      <c r="AD44" t="s">
        <v>121</v>
      </c>
      <c r="AQ44" t="s">
        <v>180</v>
      </c>
      <c r="AR44" t="s">
        <v>180</v>
      </c>
      <c r="AS44" t="s">
        <v>388</v>
      </c>
      <c r="AT44" t="s">
        <v>389</v>
      </c>
      <c r="AU44" t="s">
        <v>390</v>
      </c>
    </row>
    <row r="45" spans="18:47" x14ac:dyDescent="0.25">
      <c r="X45" t="str">
        <f>IFERROR(INDEX(tabSource[Artikel],SMALL(tabSource[Liste],COUNTIF(tabSource[Liste],"=0")+ROW(A44)-1))," ")</f>
        <v xml:space="preserve"> </v>
      </c>
      <c r="AA45" t="s">
        <v>16</v>
      </c>
      <c r="AB45" t="s">
        <v>96</v>
      </c>
      <c r="AC45" t="s">
        <v>97</v>
      </c>
      <c r="AD45" t="s">
        <v>138</v>
      </c>
      <c r="AQ45" t="s">
        <v>181</v>
      </c>
      <c r="AR45" t="s">
        <v>181</v>
      </c>
      <c r="AS45" t="s">
        <v>391</v>
      </c>
      <c r="AT45" t="s">
        <v>392</v>
      </c>
      <c r="AU45" t="s">
        <v>393</v>
      </c>
    </row>
    <row r="46" spans="18:47" x14ac:dyDescent="0.25">
      <c r="X46" t="str">
        <f>IFERROR(INDEX(tabSource[Artikel],SMALL(tabSource[Liste],COUNTIF(tabSource[Liste],"=0")+ROW(A45)-1))," ")</f>
        <v xml:space="preserve"> </v>
      </c>
      <c r="AA46" t="s">
        <v>7</v>
      </c>
      <c r="AB46" t="s">
        <v>58</v>
      </c>
      <c r="AC46" t="s">
        <v>59</v>
      </c>
      <c r="AD46" t="s">
        <v>126</v>
      </c>
      <c r="AQ46" t="s">
        <v>182</v>
      </c>
      <c r="AR46" t="s">
        <v>182</v>
      </c>
      <c r="AS46" t="s">
        <v>394</v>
      </c>
      <c r="AT46" t="s">
        <v>395</v>
      </c>
      <c r="AU46" t="s">
        <v>396</v>
      </c>
    </row>
    <row r="47" spans="18:47" x14ac:dyDescent="0.25">
      <c r="X47" t="str">
        <f>IFERROR(INDEX(tabSource[Artikel],SMALL(tabSource[Liste],COUNTIF(tabSource[Liste],"=0")+ROW(A46)-1))," ")</f>
        <v xml:space="preserve"> </v>
      </c>
      <c r="AA47" t="s">
        <v>137</v>
      </c>
      <c r="AB47" t="s">
        <v>139</v>
      </c>
      <c r="AC47" t="s">
        <v>140</v>
      </c>
      <c r="AD47" s="37" t="s">
        <v>138</v>
      </c>
      <c r="AQ47" t="s">
        <v>162</v>
      </c>
      <c r="AR47" t="s">
        <v>162</v>
      </c>
      <c r="AS47" t="s">
        <v>240</v>
      </c>
      <c r="AT47" t="s">
        <v>241</v>
      </c>
      <c r="AU47" t="s">
        <v>397</v>
      </c>
    </row>
    <row r="48" spans="18:47" x14ac:dyDescent="0.25">
      <c r="X48" t="str">
        <f>IFERROR(INDEX(tabSource[Artikel],SMALL(tabSource[Liste],COUNTIF(tabSource[Liste],"=0")+ROW(A47)-1))," ")</f>
        <v xml:space="preserve"> </v>
      </c>
      <c r="AA48" t="s">
        <v>136</v>
      </c>
      <c r="AB48" t="s">
        <v>141</v>
      </c>
      <c r="AC48" t="s">
        <v>142</v>
      </c>
      <c r="AD48" s="37" t="s">
        <v>138</v>
      </c>
      <c r="AQ48" t="s">
        <v>10</v>
      </c>
      <c r="AR48" t="s">
        <v>10</v>
      </c>
      <c r="AS48" t="s">
        <v>242</v>
      </c>
      <c r="AT48" t="s">
        <v>243</v>
      </c>
      <c r="AU48" t="s">
        <v>243</v>
      </c>
    </row>
    <row r="49" spans="24:47" x14ac:dyDescent="0.25">
      <c r="X49" t="str">
        <f>IFERROR(INDEX(tabSource[Artikel],SMALL(tabSource[Liste],COUNTIF(tabSource[Liste],"=0")+ROW(A48)-1))," ")</f>
        <v xml:space="preserve"> </v>
      </c>
      <c r="AQ49" t="s">
        <v>146</v>
      </c>
      <c r="AR49" t="s">
        <v>146</v>
      </c>
      <c r="AS49" t="s">
        <v>372</v>
      </c>
      <c r="AT49" t="s">
        <v>333</v>
      </c>
      <c r="AU49" t="s">
        <v>244</v>
      </c>
    </row>
    <row r="50" spans="24:47" x14ac:dyDescent="0.25">
      <c r="X50" t="str">
        <f>IFERROR(INDEX(tabSource[Artikel],SMALL(tabSource[Liste],COUNTIF(tabSource[Liste],"=0")+ROW(A49)-1))," ")</f>
        <v xml:space="preserve"> </v>
      </c>
      <c r="AA50" t="s">
        <v>43</v>
      </c>
      <c r="AB50" t="s">
        <v>45</v>
      </c>
      <c r="AC50" t="s">
        <v>57</v>
      </c>
      <c r="AD50" t="s">
        <v>121</v>
      </c>
      <c r="AQ50" t="s">
        <v>167</v>
      </c>
      <c r="AR50" t="s">
        <v>167</v>
      </c>
      <c r="AS50" t="s">
        <v>245</v>
      </c>
      <c r="AT50" t="s">
        <v>246</v>
      </c>
      <c r="AU50" t="s">
        <v>398</v>
      </c>
    </row>
    <row r="51" spans="24:47" x14ac:dyDescent="0.25">
      <c r="X51" t="str">
        <f>IFERROR(INDEX(tabSource[Artikel],SMALL(tabSource[Liste],COUNTIF(tabSource[Liste],"=0")+ROW(A50)-1))," ")</f>
        <v xml:space="preserve"> </v>
      </c>
      <c r="AA51" s="35" t="s">
        <v>48</v>
      </c>
      <c r="AB51" s="35" t="s">
        <v>48</v>
      </c>
      <c r="AC51" s="35" t="s">
        <v>48</v>
      </c>
      <c r="AD51" s="35" t="s">
        <v>48</v>
      </c>
      <c r="AQ51" t="s">
        <v>166</v>
      </c>
      <c r="AR51" t="s">
        <v>166</v>
      </c>
      <c r="AS51" t="s">
        <v>232</v>
      </c>
      <c r="AT51" t="s">
        <v>247</v>
      </c>
      <c r="AU51" t="s">
        <v>399</v>
      </c>
    </row>
    <row r="52" spans="24:47" x14ac:dyDescent="0.25">
      <c r="X52" t="str">
        <f>IFERROR(INDEX(tabSource[Artikel],SMALL(tabSource[Liste],COUNTIF(tabSource[Liste],"=0")+ROW(A51)-1))," ")</f>
        <v xml:space="preserve"> </v>
      </c>
      <c r="AA52" t="s">
        <v>273</v>
      </c>
      <c r="AB52" t="s">
        <v>280</v>
      </c>
      <c r="AC52" t="s">
        <v>281</v>
      </c>
      <c r="AD52" t="s">
        <v>282</v>
      </c>
      <c r="AQ52" t="s">
        <v>153</v>
      </c>
      <c r="AR52" t="s">
        <v>153</v>
      </c>
      <c r="AS52" t="s">
        <v>248</v>
      </c>
      <c r="AT52" t="s">
        <v>249</v>
      </c>
      <c r="AU52" t="s">
        <v>250</v>
      </c>
    </row>
    <row r="53" spans="24:47" x14ac:dyDescent="0.25">
      <c r="X53" t="str">
        <f>IFERROR(INDEX(tabSource[Artikel],SMALL(tabSource[Liste],COUNTIF(tabSource[Liste],"=0")+ROW(A52)-1))," ")</f>
        <v xml:space="preserve"> </v>
      </c>
      <c r="AA53" t="s">
        <v>274</v>
      </c>
      <c r="AB53" t="s">
        <v>283</v>
      </c>
      <c r="AC53" t="s">
        <v>284</v>
      </c>
      <c r="AD53" t="s">
        <v>322</v>
      </c>
      <c r="AQ53" t="s">
        <v>354</v>
      </c>
      <c r="AR53" t="s">
        <v>354</v>
      </c>
      <c r="AS53" t="s">
        <v>400</v>
      </c>
      <c r="AT53" t="s">
        <v>371</v>
      </c>
      <c r="AU53" t="s">
        <v>226</v>
      </c>
    </row>
    <row r="54" spans="24:47" x14ac:dyDescent="0.25">
      <c r="X54" t="str">
        <f>IFERROR(INDEX(tabSource[Artikel],SMALL(tabSource[Liste],COUNTIF(tabSource[Liste],"=0")+ROW(A53)-1))," ")</f>
        <v xml:space="preserve"> </v>
      </c>
      <c r="AA54" t="s">
        <v>275</v>
      </c>
      <c r="AB54" t="s">
        <v>285</v>
      </c>
      <c r="AC54" t="s">
        <v>286</v>
      </c>
      <c r="AD54" t="s">
        <v>323</v>
      </c>
      <c r="AQ54" t="s">
        <v>358</v>
      </c>
      <c r="AR54" t="s">
        <v>358</v>
      </c>
      <c r="AS54" t="s">
        <v>251</v>
      </c>
      <c r="AT54" t="s">
        <v>401</v>
      </c>
      <c r="AU54" t="s">
        <v>370</v>
      </c>
    </row>
    <row r="55" spans="24:47" x14ac:dyDescent="0.25">
      <c r="X55" t="str">
        <f>IFERROR(INDEX(tabSource[Artikel],SMALL(tabSource[Liste],COUNTIF(tabSource[Liste],"=0")+ROW(A54)-1))," ")</f>
        <v xml:space="preserve"> </v>
      </c>
      <c r="AA55" t="s">
        <v>276</v>
      </c>
      <c r="AB55" t="s">
        <v>287</v>
      </c>
      <c r="AC55" t="s">
        <v>288</v>
      </c>
      <c r="AD55" t="s">
        <v>319</v>
      </c>
      <c r="AQ55" t="s">
        <v>185</v>
      </c>
      <c r="AR55" t="s">
        <v>185</v>
      </c>
      <c r="AS55" t="s">
        <v>251</v>
      </c>
      <c r="AT55" t="s">
        <v>350</v>
      </c>
      <c r="AU55" t="s">
        <v>252</v>
      </c>
    </row>
    <row r="56" spans="24:47" x14ac:dyDescent="0.25">
      <c r="X56" t="str">
        <f>IFERROR(INDEX(tabSource[Artikel],SMALL(tabSource[Liste],COUNTIF(tabSource[Liste],"=0")+ROW(A55)-1))," ")</f>
        <v xml:space="preserve"> </v>
      </c>
      <c r="AA56" t="s">
        <v>277</v>
      </c>
      <c r="AB56" t="s">
        <v>289</v>
      </c>
      <c r="AC56" t="s">
        <v>290</v>
      </c>
      <c r="AD56" t="s">
        <v>320</v>
      </c>
      <c r="AQ56" t="s">
        <v>253</v>
      </c>
      <c r="AR56" t="s">
        <v>253</v>
      </c>
      <c r="AS56" t="s">
        <v>402</v>
      </c>
      <c r="AT56" t="s">
        <v>254</v>
      </c>
      <c r="AU56" t="s">
        <v>365</v>
      </c>
    </row>
    <row r="57" spans="24:47" x14ac:dyDescent="0.25">
      <c r="X57" t="str">
        <f>IFERROR(INDEX(tabSource[Artikel],SMALL(tabSource[Liste],COUNTIF(tabSource[Liste],"=0")+ROW(A56)-1))," ")</f>
        <v xml:space="preserve"> </v>
      </c>
      <c r="AA57" t="s">
        <v>278</v>
      </c>
      <c r="AB57" t="s">
        <v>291</v>
      </c>
      <c r="AC57" t="s">
        <v>292</v>
      </c>
      <c r="AD57" t="s">
        <v>321</v>
      </c>
      <c r="AQ57" t="s">
        <v>144</v>
      </c>
      <c r="AR57" t="s">
        <v>144</v>
      </c>
      <c r="AS57" t="s">
        <v>255</v>
      </c>
      <c r="AT57" t="s">
        <v>359</v>
      </c>
      <c r="AU57" t="s">
        <v>256</v>
      </c>
    </row>
    <row r="58" spans="24:47" x14ac:dyDescent="0.25">
      <c r="X58" t="str">
        <f>IFERROR(INDEX(tabSource[Artikel],SMALL(tabSource[Liste],COUNTIF(tabSource[Liste],"=0")+ROW(A57)-1))," ")</f>
        <v xml:space="preserve"> </v>
      </c>
      <c r="AQ58" t="s">
        <v>147</v>
      </c>
      <c r="AR58" t="s">
        <v>147</v>
      </c>
      <c r="AS58" t="s">
        <v>257</v>
      </c>
      <c r="AT58" t="s">
        <v>333</v>
      </c>
      <c r="AU58" t="s">
        <v>258</v>
      </c>
    </row>
    <row r="59" spans="24:47" x14ac:dyDescent="0.25">
      <c r="X59" t="str">
        <f>IFERROR(INDEX(tabSource[Artikel],SMALL(tabSource[Liste],COUNTIF(tabSource[Liste],"=0")+ROW(A58)-1))," ")</f>
        <v xml:space="preserve"> </v>
      </c>
      <c r="AQ59" t="s">
        <v>158</v>
      </c>
      <c r="AR59" t="s">
        <v>158</v>
      </c>
      <c r="AS59" t="s">
        <v>259</v>
      </c>
      <c r="AT59" t="s">
        <v>336</v>
      </c>
      <c r="AU59" t="s">
        <v>260</v>
      </c>
    </row>
    <row r="60" spans="24:47" x14ac:dyDescent="0.25">
      <c r="X60" t="str">
        <f>IFERROR(INDEX(tabSource[Artikel],SMALL(tabSource[Liste],COUNTIF(tabSource[Liste],"=0")+ROW(A59)-1))," ")</f>
        <v xml:space="preserve"> </v>
      </c>
      <c r="AQ60" t="s">
        <v>419</v>
      </c>
      <c r="AR60" t="s">
        <v>419</v>
      </c>
      <c r="AS60" t="s">
        <v>420</v>
      </c>
      <c r="AT60" t="s">
        <v>421</v>
      </c>
      <c r="AU60" t="s">
        <v>422</v>
      </c>
    </row>
    <row r="61" spans="24:47" x14ac:dyDescent="0.25">
      <c r="X61" t="str">
        <f>IFERROR(INDEX(tabSource[Artikel],SMALL(tabSource[Liste],COUNTIF(tabSource[Liste],"=0")+ROW(A60)-1))," ")</f>
        <v xml:space="preserve"> </v>
      </c>
      <c r="AQ61" t="s">
        <v>430</v>
      </c>
      <c r="AR61" t="s">
        <v>434</v>
      </c>
      <c r="AS61" t="s">
        <v>431</v>
      </c>
      <c r="AT61" s="37" t="s">
        <v>432</v>
      </c>
      <c r="AU61" t="s">
        <v>433</v>
      </c>
    </row>
    <row r="62" spans="24:47" x14ac:dyDescent="0.25">
      <c r="X62" t="str">
        <f>IFERROR(INDEX(tabSource[Artikel],SMALL(tabSource[Liste],COUNTIF(tabSource[Liste],"=0")+ROW(A61)-1))," ")</f>
        <v xml:space="preserve"> </v>
      </c>
    </row>
    <row r="63" spans="24:47" x14ac:dyDescent="0.25">
      <c r="X63" t="str">
        <f>IFERROR(INDEX(tabSource[Artikel],SMALL(tabSource[Liste],COUNTIF(tabSource[Liste],"=0")+ROW(A62)-1))," ")</f>
        <v xml:space="preserve"> </v>
      </c>
    </row>
    <row r="64" spans="24:47" x14ac:dyDescent="0.25">
      <c r="X64" t="str">
        <f>IFERROR(INDEX(tabSource[Artikel],SMALL(tabSource[Liste],COUNTIF(tabSource[Liste],"=0")+ROW(A63)-1))," ")</f>
        <v xml:space="preserve"> </v>
      </c>
    </row>
    <row r="65" spans="24:24" x14ac:dyDescent="0.25">
      <c r="X65" t="str">
        <f>IFERROR(INDEX(tabSource[Artikel],SMALL(tabSource[Liste],COUNTIF(tabSource[Liste],"=0")+ROW(A64)-1))," ")</f>
        <v xml:space="preserve"> </v>
      </c>
    </row>
    <row r="66" spans="24:24" x14ac:dyDescent="0.25">
      <c r="X66" t="str">
        <f>IFERROR(INDEX(tabSource[Artikel],SMALL(tabSource[Liste],COUNTIF(tabSource[Liste],"=0")+ROW(A65)-1))," ")</f>
        <v xml:space="preserve"> </v>
      </c>
    </row>
    <row r="67" spans="24:24" x14ac:dyDescent="0.25">
      <c r="X67" t="str">
        <f>IFERROR(INDEX(tabSource[Artikel],SMALL(tabSource[Liste],COUNTIF(tabSource[Liste],"=0")+ROW(A66)-1))," ")</f>
        <v xml:space="preserve"> </v>
      </c>
    </row>
    <row r="68" spans="24:24" x14ac:dyDescent="0.25">
      <c r="X68" t="str">
        <f>IFERROR(INDEX(tabSource[Artikel],SMALL(tabSource[Liste],COUNTIF(tabSource[Liste],"=0")+ROW(A67)-1))," ")</f>
        <v xml:space="preserve"> </v>
      </c>
    </row>
    <row r="69" spans="24:24" x14ac:dyDescent="0.25">
      <c r="X69" t="str">
        <f>IFERROR(INDEX(tabSource[Artikel],SMALL(tabSource[Liste],COUNTIF(tabSource[Liste],"=0")+ROW(A68)-1))," ")</f>
        <v xml:space="preserve"> </v>
      </c>
    </row>
    <row r="70" spans="24:24" x14ac:dyDescent="0.25">
      <c r="X70" t="str">
        <f>IFERROR(INDEX(tabSource[Artikel],SMALL(tabSource[Liste],COUNTIF(tabSource[Liste],"=0")+ROW(A69)-1))," ")</f>
        <v xml:space="preserve"> </v>
      </c>
    </row>
    <row r="71" spans="24:24" x14ac:dyDescent="0.25">
      <c r="X71" t="str">
        <f>IFERROR(INDEX(tabSource[Artikel],SMALL(tabSource[Liste],COUNTIF(tabSource[Liste],"=0")+ROW(A70)-1))," ")</f>
        <v xml:space="preserve"> </v>
      </c>
    </row>
    <row r="72" spans="24:24" x14ac:dyDescent="0.25">
      <c r="X72" t="str">
        <f>IFERROR(INDEX(tabSource[Artikel],SMALL(tabSource[Liste],COUNTIF(tabSource[Liste],"=0")+ROW(A71)-1))," ")</f>
        <v xml:space="preserve"> </v>
      </c>
    </row>
    <row r="73" spans="24:24" x14ac:dyDescent="0.25">
      <c r="X73" t="str">
        <f>IFERROR(INDEX(tabSource[Artikel],SMALL(tabSource[Liste],COUNTIF(tabSource[Liste],"=0")+ROW(A72)-1))," ")</f>
        <v xml:space="preserve"> </v>
      </c>
    </row>
    <row r="74" spans="24:24" x14ac:dyDescent="0.25">
      <c r="X74" t="str">
        <f>IFERROR(INDEX(tabSource[Artikel],SMALL(tabSource[Liste],COUNTIF(tabSource[Liste],"=0")+ROW(A73)-1))," ")</f>
        <v xml:space="preserve"> </v>
      </c>
    </row>
    <row r="75" spans="24:24" x14ac:dyDescent="0.25">
      <c r="X75" t="str">
        <f>IFERROR(INDEX(tabSource[Artikel],SMALL(tabSource[Liste],COUNTIF(tabSource[Liste],"=0")+ROW(A74)-1))," ")</f>
        <v xml:space="preserve"> </v>
      </c>
    </row>
    <row r="76" spans="24:24" x14ac:dyDescent="0.25">
      <c r="X76" t="str">
        <f>IFERROR(INDEX(tabSource[Artikel],SMALL(tabSource[Liste],COUNTIF(tabSource[Liste],"=0")+ROW(A75)-1))," ")</f>
        <v xml:space="preserve"> </v>
      </c>
    </row>
    <row r="77" spans="24:24" x14ac:dyDescent="0.25">
      <c r="X77" t="str">
        <f>IFERROR(INDEX(tabSource[Artikel],SMALL(tabSource[Liste],COUNTIF(tabSource[Liste],"=0")+ROW(A76)-1))," ")</f>
        <v xml:space="preserve"> </v>
      </c>
    </row>
    <row r="78" spans="24:24" x14ac:dyDescent="0.25">
      <c r="X78" t="str">
        <f>IFERROR(INDEX(tabSource[Artikel],SMALL(tabSource[Liste],COUNTIF(tabSource[Liste],"=0")+ROW(A77)-1))," ")</f>
        <v xml:space="preserve"> </v>
      </c>
    </row>
    <row r="79" spans="24:24" x14ac:dyDescent="0.25">
      <c r="X79" t="str">
        <f>IFERROR(INDEX(tabSource[Artikel],SMALL(tabSource[Liste],COUNTIF(tabSource[Liste],"=0")+ROW(A78)-1))," ")</f>
        <v xml:space="preserve"> </v>
      </c>
    </row>
    <row r="80" spans="24:24" x14ac:dyDescent="0.25">
      <c r="X80" t="str">
        <f>IFERROR(INDEX(tabSource[Artikel],SMALL(tabSource[Liste],COUNTIF(tabSource[Liste],"=0")+ROW(A79)-1))," ")</f>
        <v xml:space="preserve"> </v>
      </c>
    </row>
    <row r="81" spans="24:24" x14ac:dyDescent="0.25">
      <c r="X81" t="str">
        <f>IFERROR(INDEX(tabSource[Artikel],SMALL(tabSource[Liste],COUNTIF(tabSource[Liste],"=0")+ROW(A80)-1))," ")</f>
        <v xml:space="preserve"> </v>
      </c>
    </row>
    <row r="82" spans="24:24" x14ac:dyDescent="0.25">
      <c r="X82" t="str">
        <f>IFERROR(INDEX(tabSource[Artikel],SMALL(tabSource[Liste],COUNTIF(tabSource[Liste],"=0")+ROW(A81)-1))," ")</f>
        <v xml:space="preserve"> </v>
      </c>
    </row>
    <row r="83" spans="24:24" x14ac:dyDescent="0.25">
      <c r="X83" t="str">
        <f>IFERROR(INDEX(tabSource[Artikel],SMALL(tabSource[Liste],COUNTIF(tabSource[Liste],"=0")+ROW(A82)-1))," ")</f>
        <v xml:space="preserve"> </v>
      </c>
    </row>
    <row r="84" spans="24:24" x14ac:dyDescent="0.25">
      <c r="X84" t="str">
        <f>IFERROR(INDEX(tabSource[Artikel],SMALL(tabSource[Liste],COUNTIF(tabSource[Liste],"=0")+ROW(A83)-1))," ")</f>
        <v xml:space="preserve"> </v>
      </c>
    </row>
    <row r="85" spans="24:24" x14ac:dyDescent="0.25">
      <c r="X85" t="str">
        <f>IFERROR(INDEX(tabSource[Artikel],SMALL(tabSource[Liste],COUNTIF(tabSource[Liste],"=0")+ROW(A84)-1))," ")</f>
        <v xml:space="preserve"> </v>
      </c>
    </row>
    <row r="86" spans="24:24" x14ac:dyDescent="0.25">
      <c r="X86" t="str">
        <f>IFERROR(INDEX(tabSource[Artikel],SMALL(tabSource[Liste],COUNTIF(tabSource[Liste],"=0")+ROW(A85)-1))," ")</f>
        <v xml:space="preserve"> </v>
      </c>
    </row>
    <row r="87" spans="24:24" x14ac:dyDescent="0.25">
      <c r="X87" t="str">
        <f>IFERROR(INDEX(tabSource[Artikel],SMALL(tabSource[Liste],COUNTIF(tabSource[Liste],"=0")+ROW(A86)-1))," ")</f>
        <v xml:space="preserve"> </v>
      </c>
    </row>
    <row r="88" spans="24:24" x14ac:dyDescent="0.25">
      <c r="X88" t="str">
        <f>IFERROR(INDEX(tabSource[Artikel],SMALL(tabSource[Liste],COUNTIF(tabSource[Liste],"=0")+ROW(A87)-1))," ")</f>
        <v xml:space="preserve"> </v>
      </c>
    </row>
    <row r="89" spans="24:24" x14ac:dyDescent="0.25">
      <c r="X89" t="str">
        <f>IFERROR(INDEX(tabSource[Artikel],SMALL(tabSource[Liste],COUNTIF(tabSource[Liste],"=0")+ROW(A88)-1))," ")</f>
        <v xml:space="preserve"> </v>
      </c>
    </row>
    <row r="90" spans="24:24" x14ac:dyDescent="0.25">
      <c r="X90" t="str">
        <f>IFERROR(INDEX(tabSource[Artikel],SMALL(tabSource[Liste],COUNTIF(tabSource[Liste],"=0")+ROW(A89)-1))," ")</f>
        <v xml:space="preserve"> </v>
      </c>
    </row>
    <row r="91" spans="24:24" x14ac:dyDescent="0.25">
      <c r="X91" t="str">
        <f>IFERROR(INDEX(tabSource[Artikel],SMALL(tabSource[Liste],COUNTIF(tabSource[Liste],"=0")+ROW(A90)-1))," ")</f>
        <v xml:space="preserve"> </v>
      </c>
    </row>
    <row r="92" spans="24:24" x14ac:dyDescent="0.25">
      <c r="X92" t="str">
        <f>IFERROR(INDEX(tabSource[Artikel],SMALL(tabSource[Liste],COUNTIF(tabSource[Liste],"=0")+ROW(A91)-1))," ")</f>
        <v xml:space="preserve"> </v>
      </c>
    </row>
    <row r="93" spans="24:24" x14ac:dyDescent="0.25">
      <c r="X93" t="str">
        <f>IFERROR(INDEX(tabSource[Artikel],SMALL(tabSource[Liste],COUNTIF(tabSource[Liste],"=0")+ROW(A92)-1))," ")</f>
        <v xml:space="preserve"> </v>
      </c>
    </row>
    <row r="94" spans="24:24" x14ac:dyDescent="0.25">
      <c r="X94" t="str">
        <f>IFERROR(INDEX(tabSource[Artikel],SMALL(tabSource[Liste],COUNTIF(tabSource[Liste],"=0")+ROW(A93)-1))," ")</f>
        <v xml:space="preserve"> </v>
      </c>
    </row>
    <row r="95" spans="24:24" x14ac:dyDescent="0.25">
      <c r="X95" t="str">
        <f>IFERROR(INDEX(tabSource[Artikel],SMALL(tabSource[Liste],COUNTIF(tabSource[Liste],"=0")+ROW(A94)-1))," ")</f>
        <v xml:space="preserve"> </v>
      </c>
    </row>
    <row r="96" spans="24:24" x14ac:dyDescent="0.25">
      <c r="X96" t="str">
        <f>IFERROR(INDEX(tabSource[Artikel],SMALL(tabSource[Liste],COUNTIF(tabSource[Liste],"=0")+ROW(A95)-1))," ")</f>
        <v xml:space="preserve"> </v>
      </c>
    </row>
    <row r="97" spans="24:24" x14ac:dyDescent="0.25">
      <c r="X97" t="str">
        <f>IFERROR(INDEX(tabSource[Artikel],SMALL(tabSource[Liste],COUNTIF(tabSource[Liste],"=0")+ROW(A96)-1))," ")</f>
        <v xml:space="preserve"> </v>
      </c>
    </row>
    <row r="98" spans="24:24" x14ac:dyDescent="0.25">
      <c r="X98" t="str">
        <f>IFERROR(INDEX(tabSource[Artikel],SMALL(tabSource[Liste],COUNTIF(tabSource[Liste],"=0")+ROW(A97)-1))," ")</f>
        <v xml:space="preserve"> </v>
      </c>
    </row>
    <row r="99" spans="24:24" x14ac:dyDescent="0.25">
      <c r="X99" t="str">
        <f>IFERROR(INDEX(tabSource[Artikel],SMALL(tabSource[Liste],COUNTIF(tabSource[Liste],"=0")+ROW(A98)-1))," ")</f>
        <v xml:space="preserve"> </v>
      </c>
    </row>
    <row r="100" spans="24:24" x14ac:dyDescent="0.25">
      <c r="X100" t="str">
        <f>IFERROR(INDEX(tabSource[Artikel],SMALL(tabSource[Liste],COUNTIF(tabSource[Liste],"=0")+ROW(A99)-1))," ")</f>
        <v xml:space="preserve"> </v>
      </c>
    </row>
    <row r="101" spans="24:24" x14ac:dyDescent="0.25">
      <c r="X101" t="str">
        <f>IFERROR(INDEX(tabSource[Artikel],SMALL(tabSource[Liste],COUNTIF(tabSource[Liste],"=0")+ROW(A100)-1))," ")</f>
        <v xml:space="preserve"> </v>
      </c>
    </row>
    <row r="102" spans="24:24" x14ac:dyDescent="0.25">
      <c r="X102" t="str">
        <f>IFERROR(INDEX(tabSource[Artikel],SMALL(tabSource[Liste],COUNTIF(tabSource[Liste],"=0")+ROW(A101)-1))," ")</f>
        <v xml:space="preserve"> </v>
      </c>
    </row>
    <row r="103" spans="24:24" x14ac:dyDescent="0.25">
      <c r="X103" t="str">
        <f>IFERROR(INDEX(tabSource[Artikel],SMALL(tabSource[Liste],COUNTIF(tabSource[Liste],"=0")+ROW(A102)-1))," ")</f>
        <v xml:space="preserve"> </v>
      </c>
    </row>
    <row r="104" spans="24:24" x14ac:dyDescent="0.25">
      <c r="X104" t="str">
        <f>IFERROR(INDEX(tabSource[Artikel],SMALL(tabSource[Liste],COUNTIF(tabSource[Liste],"=0")+ROW(A103)-1))," ")</f>
        <v xml:space="preserve"> </v>
      </c>
    </row>
    <row r="105" spans="24:24" x14ac:dyDescent="0.25">
      <c r="X105" t="str">
        <f>IFERROR(INDEX(tabSource[Artikel],SMALL(tabSource[Liste],COUNTIF(tabSource[Liste],"=0")+ROW(A104)-1))," ")</f>
        <v xml:space="preserve"> </v>
      </c>
    </row>
    <row r="106" spans="24:24" x14ac:dyDescent="0.25">
      <c r="X106" t="str">
        <f>IFERROR(INDEX(tabSource[Artikel],SMALL(tabSource[Liste],COUNTIF(tabSource[Liste],"=0")+ROW(A105)-1))," ")</f>
        <v xml:space="preserve"> </v>
      </c>
    </row>
    <row r="107" spans="24:24" x14ac:dyDescent="0.25">
      <c r="X107" t="str">
        <f>IFERROR(INDEX(tabSource[Artikel],SMALL(tabSource[Liste],COUNTIF(tabSource[Liste],"=0")+ROW(A106)-1))," ")</f>
        <v xml:space="preserve"> </v>
      </c>
    </row>
    <row r="108" spans="24:24" x14ac:dyDescent="0.25">
      <c r="X108" t="str">
        <f>IFERROR(INDEX(tabSource[Artikel],SMALL(tabSource[Liste],COUNTIF(tabSource[Liste],"=0")+ROW(A107)-1))," ")</f>
        <v xml:space="preserve"> </v>
      </c>
    </row>
    <row r="109" spans="24:24" x14ac:dyDescent="0.25">
      <c r="X109" t="str">
        <f>IFERROR(INDEX(tabSource[Artikel],SMALL(tabSource[Liste],COUNTIF(tabSource[Liste],"=0")+ROW(A108)-1))," ")</f>
        <v xml:space="preserve"> </v>
      </c>
    </row>
    <row r="110" spans="24:24" x14ac:dyDescent="0.25">
      <c r="X110" t="str">
        <f>IFERROR(INDEX(tabSource[Artikel],SMALL(tabSource[Liste],COUNTIF(tabSource[Liste],"=0")+ROW(A109)-1))," ")</f>
        <v xml:space="preserve"> </v>
      </c>
    </row>
    <row r="111" spans="24:24" x14ac:dyDescent="0.25">
      <c r="X111" t="str">
        <f>IFERROR(INDEX(tabSource[Artikel],SMALL(tabSource[Liste],COUNTIF(tabSource[Liste],"=0")+ROW(A110)-1))," ")</f>
        <v xml:space="preserve"> </v>
      </c>
    </row>
    <row r="112" spans="24:24" x14ac:dyDescent="0.25">
      <c r="X112" t="str">
        <f>IFERROR(INDEX(tabSource[Artikel],SMALL(tabSource[Liste],COUNTIF(tabSource[Liste],"=0")+ROW(A111)-1))," ")</f>
        <v xml:space="preserve"> </v>
      </c>
    </row>
    <row r="113" spans="24:24" x14ac:dyDescent="0.25">
      <c r="X113" t="str">
        <f>IFERROR(INDEX(tabSource[Artikel],SMALL(tabSource[Liste],COUNTIF(tabSource[Liste],"=0")+ROW(A112)-1))," ")</f>
        <v xml:space="preserve"> </v>
      </c>
    </row>
    <row r="114" spans="24:24" x14ac:dyDescent="0.25">
      <c r="X114" t="str">
        <f>IFERROR(INDEX(tabSource[Artikel],SMALL(tabSource[Liste],COUNTIF(tabSource[Liste],"=0")+ROW(A113)-1))," ")</f>
        <v xml:space="preserve"> </v>
      </c>
    </row>
    <row r="115" spans="24:24" x14ac:dyDescent="0.25">
      <c r="X115" t="str">
        <f>IFERROR(INDEX(tabSource[Artikel],SMALL(tabSource[Liste],COUNTIF(tabSource[Liste],"=0")+ROW(A114)-1))," ")</f>
        <v xml:space="preserve"> </v>
      </c>
    </row>
    <row r="116" spans="24:24" x14ac:dyDescent="0.25">
      <c r="X116" t="str">
        <f>IFERROR(INDEX(tabSource[Artikel],SMALL(tabSource[Liste],COUNTIF(tabSource[Liste],"=0")+ROW(A115)-1))," ")</f>
        <v xml:space="preserve"> </v>
      </c>
    </row>
    <row r="117" spans="24:24" x14ac:dyDescent="0.25">
      <c r="X117" t="str">
        <f>IFERROR(INDEX(tabSource[Artikel],SMALL(tabSource[Liste],COUNTIF(tabSource[Liste],"=0")+ROW(A116)-1))," ")</f>
        <v xml:space="preserve"> </v>
      </c>
    </row>
    <row r="118" spans="24:24" x14ac:dyDescent="0.25">
      <c r="X118" t="str">
        <f>IFERROR(INDEX(tabSource[Artikel],SMALL(tabSource[Liste],COUNTIF(tabSource[Liste],"=0")+ROW(A117)-1))," ")</f>
        <v xml:space="preserve"> </v>
      </c>
    </row>
    <row r="119" spans="24:24" x14ac:dyDescent="0.25">
      <c r="X119" t="str">
        <f>IFERROR(INDEX(tabSource[Artikel],SMALL(tabSource[Liste],COUNTIF(tabSource[Liste],"=0")+ROW(A118)-1))," ")</f>
        <v xml:space="preserve"> </v>
      </c>
    </row>
    <row r="120" spans="24:24" x14ac:dyDescent="0.25">
      <c r="X120" t="str">
        <f>IFERROR(INDEX(tabSource[Artikel],SMALL(tabSource[Liste],COUNTIF(tabSource[Liste],"=0")+ROW(A119)-1))," ")</f>
        <v xml:space="preserve"> </v>
      </c>
    </row>
    <row r="121" spans="24:24" x14ac:dyDescent="0.25">
      <c r="X121" t="str">
        <f>IFERROR(INDEX(tabSource[Artikel],SMALL(tabSource[Liste],COUNTIF(tabSource[Liste],"=0")+ROW(A120)-1))," ")</f>
        <v xml:space="preserve"> </v>
      </c>
    </row>
    <row r="122" spans="24:24" x14ac:dyDescent="0.25">
      <c r="X122" t="str">
        <f>IFERROR(INDEX(tabSource[Artikel],SMALL(tabSource[Liste],COUNTIF(tabSource[Liste],"=0")+ROW(A121)-1))," ")</f>
        <v xml:space="preserve"> </v>
      </c>
    </row>
    <row r="123" spans="24:24" x14ac:dyDescent="0.25">
      <c r="X123" t="str">
        <f>IFERROR(INDEX(tabSource[Artikel],SMALL(tabSource[Liste],COUNTIF(tabSource[Liste],"=0")+ROW(A122)-1))," ")</f>
        <v xml:space="preserve"> </v>
      </c>
    </row>
    <row r="124" spans="24:24" x14ac:dyDescent="0.25">
      <c r="X124" t="str">
        <f>IFERROR(INDEX(tabSource[Artikel],SMALL(tabSource[Liste],COUNTIF(tabSource[Liste],"=0")+ROW(A123)-1))," ")</f>
        <v xml:space="preserve"> </v>
      </c>
    </row>
    <row r="125" spans="24:24" x14ac:dyDescent="0.25">
      <c r="X125" t="str">
        <f>IFERROR(INDEX(tabSource[Artikel],SMALL(tabSource[Liste],COUNTIF(tabSource[Liste],"=0")+ROW(A124)-1))," ")</f>
        <v xml:space="preserve"> </v>
      </c>
    </row>
    <row r="126" spans="24:24" x14ac:dyDescent="0.25">
      <c r="X126" t="str">
        <f>IFERROR(INDEX(tabSource[Artikel],SMALL(tabSource[Liste],COUNTIF(tabSource[Liste],"=0")+ROW(A125)-1))," ")</f>
        <v xml:space="preserve"> </v>
      </c>
    </row>
    <row r="127" spans="24:24" x14ac:dyDescent="0.25">
      <c r="X127" t="str">
        <f>IFERROR(INDEX(tabSource[Artikel],SMALL(tabSource[Liste],COUNTIF(tabSource[Liste],"=0")+ROW(A126)-1))," ")</f>
        <v xml:space="preserve"> </v>
      </c>
    </row>
    <row r="128" spans="24:24" x14ac:dyDescent="0.25">
      <c r="X128" t="str">
        <f>IFERROR(INDEX(tabSource[Artikel],SMALL(tabSource[Liste],COUNTIF(tabSource[Liste],"=0")+ROW(A127)-1))," ")</f>
        <v xml:space="preserve"> </v>
      </c>
    </row>
    <row r="129" spans="24:24" x14ac:dyDescent="0.25">
      <c r="X129" t="str">
        <f>IFERROR(INDEX(tabSource[Artikel],SMALL(tabSource[Liste],COUNTIF(tabSource[Liste],"=0")+ROW(A128)-1))," ")</f>
        <v xml:space="preserve"> </v>
      </c>
    </row>
    <row r="130" spans="24:24" x14ac:dyDescent="0.25">
      <c r="X130" t="str">
        <f>IFERROR(INDEX(tabSource[Artikel],SMALL(tabSource[Liste],COUNTIF(tabSource[Liste],"=0")+ROW(A129)-1))," ")</f>
        <v xml:space="preserve"> </v>
      </c>
    </row>
    <row r="131" spans="24:24" x14ac:dyDescent="0.25">
      <c r="X131" t="str">
        <f>IFERROR(INDEX(tabSource[Artikel],SMALL(tabSource[Liste],COUNTIF(tabSource[Liste],"=0")+ROW(A130)-1))," ")</f>
        <v xml:space="preserve"> </v>
      </c>
    </row>
    <row r="132" spans="24:24" x14ac:dyDescent="0.25">
      <c r="X132" t="str">
        <f>IFERROR(INDEX(tabSource[Artikel],SMALL(tabSource[Liste],COUNTIF(tabSource[Liste],"=0")+ROW(A131)-1))," ")</f>
        <v xml:space="preserve"> </v>
      </c>
    </row>
    <row r="133" spans="24:24" x14ac:dyDescent="0.25">
      <c r="X133" t="str">
        <f>IFERROR(INDEX(tabSource[Artikel],SMALL(tabSource[Liste],COUNTIF(tabSource[Liste],"=0")+ROW(A132)-1))," ")</f>
        <v xml:space="preserve"> </v>
      </c>
    </row>
    <row r="134" spans="24:24" x14ac:dyDescent="0.25">
      <c r="X134" t="str">
        <f>IFERROR(INDEX(tabSource[Artikel],SMALL(tabSource[Liste],COUNTIF(tabSource[Liste],"=0")+ROW(A133)-1))," ")</f>
        <v xml:space="preserve"> </v>
      </c>
    </row>
    <row r="135" spans="24:24" x14ac:dyDescent="0.25">
      <c r="X135" t="str">
        <f>IFERROR(INDEX(tabSource[Artikel],SMALL(tabSource[Liste],COUNTIF(tabSource[Liste],"=0")+ROW(A134)-1))," ")</f>
        <v xml:space="preserve"> </v>
      </c>
    </row>
    <row r="136" spans="24:24" x14ac:dyDescent="0.25">
      <c r="X136" t="str">
        <f>IFERROR(INDEX(tabSource[Artikel],SMALL(tabSource[Liste],COUNTIF(tabSource[Liste],"=0")+ROW(A135)-1))," ")</f>
        <v xml:space="preserve"> </v>
      </c>
    </row>
    <row r="137" spans="24:24" x14ac:dyDescent="0.25">
      <c r="X137" t="str">
        <f>IFERROR(INDEX(tabSource[Artikel],SMALL(tabSource[Liste],COUNTIF(tabSource[Liste],"=0")+ROW(A136)-1))," ")</f>
        <v xml:space="preserve"> </v>
      </c>
    </row>
    <row r="138" spans="24:24" x14ac:dyDescent="0.25">
      <c r="X138" t="str">
        <f>IFERROR(INDEX(tabSource[Artikel],SMALL(tabSource[Liste],COUNTIF(tabSource[Liste],"=0")+ROW(A137)-1))," ")</f>
        <v xml:space="preserve"> </v>
      </c>
    </row>
    <row r="139" spans="24:24" x14ac:dyDescent="0.25">
      <c r="X139" t="str">
        <f>IFERROR(INDEX(tabSource[Artikel],SMALL(tabSource[Liste],COUNTIF(tabSource[Liste],"=0")+ROW(A138)-1))," ")</f>
        <v xml:space="preserve"> </v>
      </c>
    </row>
    <row r="140" spans="24:24" x14ac:dyDescent="0.25">
      <c r="X140" t="str">
        <f>IFERROR(INDEX(tabSource[Artikel],SMALL(tabSource[Liste],COUNTIF(tabSource[Liste],"=0")+ROW(A139)-1))," ")</f>
        <v xml:space="preserve"> </v>
      </c>
    </row>
    <row r="141" spans="24:24" x14ac:dyDescent="0.25">
      <c r="X141" t="str">
        <f>IFERROR(INDEX(tabSource[Artikel],SMALL(tabSource[Liste],COUNTIF(tabSource[Liste],"=0")+ROW(A140)-1))," ")</f>
        <v xml:space="preserve"> </v>
      </c>
    </row>
    <row r="142" spans="24:24" x14ac:dyDescent="0.25">
      <c r="X142" t="str">
        <f>IFERROR(INDEX(tabSource[Artikel],SMALL(tabSource[Liste],COUNTIF(tabSource[Liste],"=0")+ROW(A141)-1))," ")</f>
        <v xml:space="preserve"> </v>
      </c>
    </row>
    <row r="143" spans="24:24" x14ac:dyDescent="0.25">
      <c r="X143" t="str">
        <f>IFERROR(INDEX(tabSource[Artikel],SMALL(tabSource[Liste],COUNTIF(tabSource[Liste],"=0")+ROW(A142)-1))," ")</f>
        <v xml:space="preserve"> </v>
      </c>
    </row>
    <row r="144" spans="24:24" x14ac:dyDescent="0.25">
      <c r="X144" t="str">
        <f>IFERROR(INDEX(tabSource[Artikel],SMALL(tabSource[Liste],COUNTIF(tabSource[Liste],"=0")+ROW(A143)-1))," ")</f>
        <v xml:space="preserve"> </v>
      </c>
    </row>
    <row r="145" spans="24:24" x14ac:dyDescent="0.25">
      <c r="X145" t="str">
        <f>IFERROR(INDEX(tabSource[Artikel],SMALL(tabSource[Liste],COUNTIF(tabSource[Liste],"=0")+ROW(A144)-1))," ")</f>
        <v xml:space="preserve"> </v>
      </c>
    </row>
    <row r="146" spans="24:24" x14ac:dyDescent="0.25">
      <c r="X146" t="str">
        <f>IFERROR(INDEX(tabSource[Artikel],SMALL(tabSource[Liste],COUNTIF(tabSource[Liste],"=0")+ROW(A145)-1))," ")</f>
        <v xml:space="preserve"> </v>
      </c>
    </row>
    <row r="147" spans="24:24" x14ac:dyDescent="0.25">
      <c r="X147" t="str">
        <f>IFERROR(INDEX(tabSource[Artikel],SMALL(tabSource[Liste],COUNTIF(tabSource[Liste],"=0")+ROW(A146)-1))," ")</f>
        <v xml:space="preserve"> </v>
      </c>
    </row>
    <row r="148" spans="24:24" x14ac:dyDescent="0.25">
      <c r="X148" t="str">
        <f>IFERROR(INDEX(tabSource[Artikel],SMALL(tabSource[Liste],COUNTIF(tabSource[Liste],"=0")+ROW(A147)-1))," ")</f>
        <v xml:space="preserve"> </v>
      </c>
    </row>
    <row r="149" spans="24:24" x14ac:dyDescent="0.25">
      <c r="X149" t="str">
        <f>IFERROR(INDEX(tabSource[Artikel],SMALL(tabSource[Liste],COUNTIF(tabSource[Liste],"=0")+ROW(A148)-1))," ")</f>
        <v xml:space="preserve"> </v>
      </c>
    </row>
    <row r="150" spans="24:24" x14ac:dyDescent="0.25">
      <c r="X150" t="str">
        <f>IFERROR(INDEX(tabSource[Artikel],SMALL(tabSource[Liste],COUNTIF(tabSource[Liste],"=0")+ROW(A149)-1))," ")</f>
        <v xml:space="preserve"> </v>
      </c>
    </row>
    <row r="151" spans="24:24" x14ac:dyDescent="0.25">
      <c r="X151" t="str">
        <f>IFERROR(INDEX(tabSource[Artikel],SMALL(tabSource[Liste],COUNTIF(tabSource[Liste],"=0")+ROW(A150)-1))," ")</f>
        <v xml:space="preserve"> </v>
      </c>
    </row>
    <row r="152" spans="24:24" x14ac:dyDescent="0.25">
      <c r="X152" t="str">
        <f>IFERROR(INDEX(tabSource[Artikel],SMALL(tabSource[Liste],COUNTIF(tabSource[Liste],"=0")+ROW(A151)-1))," ")</f>
        <v xml:space="preserve"> </v>
      </c>
    </row>
    <row r="153" spans="24:24" x14ac:dyDescent="0.25">
      <c r="X153" t="str">
        <f>IFERROR(INDEX(tabSource[Artikel],SMALL(tabSource[Liste],COUNTIF(tabSource[Liste],"=0")+ROW(A152)-1))," ")</f>
        <v xml:space="preserve"> </v>
      </c>
    </row>
    <row r="154" spans="24:24" x14ac:dyDescent="0.25">
      <c r="X154" t="str">
        <f>IFERROR(INDEX(tabSource[Artikel],SMALL(tabSource[Liste],COUNTIF(tabSource[Liste],"=0")+ROW(A153)-1))," ")</f>
        <v xml:space="preserve"> </v>
      </c>
    </row>
    <row r="155" spans="24:24" x14ac:dyDescent="0.25">
      <c r="X155" t="str">
        <f>IFERROR(INDEX(tabSource[Artikel],SMALL(tabSource[Liste],COUNTIF(tabSource[Liste],"=0")+ROW(A154)-1))," ")</f>
        <v xml:space="preserve"> </v>
      </c>
    </row>
    <row r="156" spans="24:24" x14ac:dyDescent="0.25">
      <c r="X156" t="str">
        <f>IFERROR(INDEX(tabSource[Artikel],SMALL(tabSource[Liste],COUNTIF(tabSource[Liste],"=0")+ROW(A155)-1))," ")</f>
        <v xml:space="preserve"> </v>
      </c>
    </row>
    <row r="157" spans="24:24" x14ac:dyDescent="0.25">
      <c r="X157" t="str">
        <f>IFERROR(INDEX(tabSource[Artikel],SMALL(tabSource[Liste],COUNTIF(tabSource[Liste],"=0")+ROW(A156)-1))," ")</f>
        <v xml:space="preserve"> </v>
      </c>
    </row>
    <row r="158" spans="24:24" x14ac:dyDescent="0.25">
      <c r="X158" t="str">
        <f>IFERROR(INDEX(tabSource[Artikel],SMALL(tabSource[Liste],COUNTIF(tabSource[Liste],"=0")+ROW(A157)-1))," ")</f>
        <v xml:space="preserve"> </v>
      </c>
    </row>
    <row r="159" spans="24:24" x14ac:dyDescent="0.25">
      <c r="X159" t="str">
        <f>IFERROR(INDEX(tabSource[Artikel],SMALL(tabSource[Liste],COUNTIF(tabSource[Liste],"=0")+ROW(A158)-1))," ")</f>
        <v xml:space="preserve"> </v>
      </c>
    </row>
    <row r="160" spans="24:24" x14ac:dyDescent="0.25">
      <c r="X160" t="str">
        <f>IFERROR(INDEX(tabSource[Artikel],SMALL(tabSource[Liste],COUNTIF(tabSource[Liste],"=0")+ROW(A159)-1))," ")</f>
        <v xml:space="preserve"> </v>
      </c>
    </row>
    <row r="161" spans="24:24" x14ac:dyDescent="0.25">
      <c r="X161" t="str">
        <f>IFERROR(INDEX(tabSource[Artikel],SMALL(tabSource[Liste],COUNTIF(tabSource[Liste],"=0")+ROW(A160)-1))," ")</f>
        <v xml:space="preserve"> </v>
      </c>
    </row>
    <row r="162" spans="24:24" x14ac:dyDescent="0.25">
      <c r="X162" t="str">
        <f>IFERROR(INDEX(tabSource[Artikel],SMALL(tabSource[Liste],COUNTIF(tabSource[Liste],"=0")+ROW(A161)-1))," ")</f>
        <v xml:space="preserve"> </v>
      </c>
    </row>
    <row r="163" spans="24:24" x14ac:dyDescent="0.25">
      <c r="X163" t="str">
        <f>IFERROR(INDEX(tabSource[Artikel],SMALL(tabSource[Liste],COUNTIF(tabSource[Liste],"=0")+ROW(A162)-1))," ")</f>
        <v xml:space="preserve"> </v>
      </c>
    </row>
    <row r="164" spans="24:24" x14ac:dyDescent="0.25">
      <c r="X164" t="str">
        <f>IFERROR(INDEX(tabSource[Artikel],SMALL(tabSource[Liste],COUNTIF(tabSource[Liste],"=0")+ROW(A163)-1))," ")</f>
        <v xml:space="preserve"> </v>
      </c>
    </row>
    <row r="165" spans="24:24" x14ac:dyDescent="0.25">
      <c r="X165" t="str">
        <f>IFERROR(INDEX(tabSource[Artikel],SMALL(tabSource[Liste],COUNTIF(tabSource[Liste],"=0")+ROW(A164)-1))," ")</f>
        <v xml:space="preserve"> </v>
      </c>
    </row>
    <row r="166" spans="24:24" x14ac:dyDescent="0.25">
      <c r="X166" t="str">
        <f>IFERROR(INDEX(tabSource[Artikel],SMALL(tabSource[Liste],COUNTIF(tabSource[Liste],"=0")+ROW(A165)-1))," ")</f>
        <v xml:space="preserve"> </v>
      </c>
    </row>
    <row r="167" spans="24:24" x14ac:dyDescent="0.25">
      <c r="X167" t="str">
        <f>IFERROR(INDEX(tabSource[Artikel],SMALL(tabSource[Liste],COUNTIF(tabSource[Liste],"=0")+ROW(A166)-1))," ")</f>
        <v xml:space="preserve"> </v>
      </c>
    </row>
    <row r="168" spans="24:24" x14ac:dyDescent="0.25">
      <c r="X168" t="str">
        <f>IFERROR(INDEX(tabSource[Artikel],SMALL(tabSource[Liste],COUNTIF(tabSource[Liste],"=0")+ROW(A167)-1))," ")</f>
        <v xml:space="preserve"> </v>
      </c>
    </row>
    <row r="169" spans="24:24" x14ac:dyDescent="0.25">
      <c r="X169" t="str">
        <f>IFERROR(INDEX(tabSource[Artikel],SMALL(tabSource[Liste],COUNTIF(tabSource[Liste],"=0")+ROW(A168)-1))," ")</f>
        <v xml:space="preserve"> </v>
      </c>
    </row>
    <row r="170" spans="24:24" x14ac:dyDescent="0.25">
      <c r="X170" t="str">
        <f>IFERROR(INDEX(tabSource[Artikel],SMALL(tabSource[Liste],COUNTIF(tabSource[Liste],"=0")+ROW(A169)-1))," ")</f>
        <v xml:space="preserve"> </v>
      </c>
    </row>
    <row r="171" spans="24:24" x14ac:dyDescent="0.25">
      <c r="X171" t="str">
        <f>IFERROR(INDEX(tabSource[Artikel],SMALL(tabSource[Liste],COUNTIF(tabSource[Liste],"=0")+ROW(A170)-1))," ")</f>
        <v xml:space="preserve"> </v>
      </c>
    </row>
    <row r="172" spans="24:24" x14ac:dyDescent="0.25">
      <c r="X172" t="str">
        <f>IFERROR(INDEX(tabSource[Artikel],SMALL(tabSource[Liste],COUNTIF(tabSource[Liste],"=0")+ROW(A171)-1))," ")</f>
        <v xml:space="preserve"> </v>
      </c>
    </row>
    <row r="173" spans="24:24" x14ac:dyDescent="0.25">
      <c r="X173" t="str">
        <f>IFERROR(INDEX(tabSource[Artikel],SMALL(tabSource[Liste],COUNTIF(tabSource[Liste],"=0")+ROW(A172)-1))," ")</f>
        <v xml:space="preserve"> </v>
      </c>
    </row>
    <row r="174" spans="24:24" x14ac:dyDescent="0.25">
      <c r="X174" t="str">
        <f>IFERROR(INDEX(tabSource[Artikel],SMALL(tabSource[Liste],COUNTIF(tabSource[Liste],"=0")+ROW(A173)-1))," ")</f>
        <v xml:space="preserve"> </v>
      </c>
    </row>
    <row r="175" spans="24:24" x14ac:dyDescent="0.25">
      <c r="X175" t="str">
        <f>IFERROR(INDEX(tabSource[Artikel],SMALL(tabSource[Liste],COUNTIF(tabSource[Liste],"=0")+ROW(A174)-1))," ")</f>
        <v xml:space="preserve"> </v>
      </c>
    </row>
    <row r="176" spans="24:24" x14ac:dyDescent="0.25">
      <c r="X176" t="str">
        <f>IFERROR(INDEX(tabSource[Artikel],SMALL(tabSource[Liste],COUNTIF(tabSource[Liste],"=0")+ROW(A175)-1))," ")</f>
        <v xml:space="preserve"> </v>
      </c>
    </row>
    <row r="177" spans="24:24" x14ac:dyDescent="0.25">
      <c r="X177" t="str">
        <f>IFERROR(INDEX(tabSource[Artikel],SMALL(tabSource[Liste],COUNTIF(tabSource[Liste],"=0")+ROW(A176)-1))," ")</f>
        <v xml:space="preserve"> </v>
      </c>
    </row>
    <row r="178" spans="24:24" x14ac:dyDescent="0.25">
      <c r="X178" t="str">
        <f>IFERROR(INDEX(tabSource[Artikel],SMALL(tabSource[Liste],COUNTIF(tabSource[Liste],"=0")+ROW(A177)-1))," ")</f>
        <v xml:space="preserve"> </v>
      </c>
    </row>
    <row r="179" spans="24:24" x14ac:dyDescent="0.25">
      <c r="X179" t="str">
        <f>IFERROR(INDEX(tabSource[Artikel],SMALL(tabSource[Liste],COUNTIF(tabSource[Liste],"=0")+ROW(A178)-1))," ")</f>
        <v xml:space="preserve"> </v>
      </c>
    </row>
    <row r="180" spans="24:24" x14ac:dyDescent="0.25">
      <c r="X180" t="str">
        <f>IFERROR(INDEX(tabSource[Artikel],SMALL(tabSource[Liste],COUNTIF(tabSource[Liste],"=0")+ROW(A179)-1))," ")</f>
        <v xml:space="preserve"> </v>
      </c>
    </row>
    <row r="181" spans="24:24" x14ac:dyDescent="0.25">
      <c r="X181" t="str">
        <f>IFERROR(INDEX(tabSource[Artikel],SMALL(tabSource[Liste],COUNTIF(tabSource[Liste],"=0")+ROW(A180)-1))," ")</f>
        <v xml:space="preserve"> </v>
      </c>
    </row>
    <row r="182" spans="24:24" x14ac:dyDescent="0.25">
      <c r="X182" t="str">
        <f>IFERROR(INDEX(tabSource[Artikel],SMALL(tabSource[Liste],COUNTIF(tabSource[Liste],"=0")+ROW(A181)-1))," ")</f>
        <v xml:space="preserve"> </v>
      </c>
    </row>
    <row r="183" spans="24:24" x14ac:dyDescent="0.25">
      <c r="X183" t="str">
        <f>IFERROR(INDEX(tabSource[Artikel],SMALL(tabSource[Liste],COUNTIF(tabSource[Liste],"=0")+ROW(A182)-1))," ")</f>
        <v xml:space="preserve"> </v>
      </c>
    </row>
    <row r="184" spans="24:24" x14ac:dyDescent="0.25">
      <c r="X184" t="str">
        <f>IFERROR(INDEX(tabSource[Artikel],SMALL(tabSource[Liste],COUNTIF(tabSource[Liste],"=0")+ROW(A183)-1))," ")</f>
        <v xml:space="preserve"> </v>
      </c>
    </row>
    <row r="185" spans="24:24" x14ac:dyDescent="0.25">
      <c r="X185" t="str">
        <f>IFERROR(INDEX(tabSource[Artikel],SMALL(tabSource[Liste],COUNTIF(tabSource[Liste],"=0")+ROW(A184)-1))," ")</f>
        <v xml:space="preserve"> </v>
      </c>
    </row>
    <row r="186" spans="24:24" x14ac:dyDescent="0.25">
      <c r="X186" t="str">
        <f>IFERROR(INDEX(tabSource[Artikel],SMALL(tabSource[Liste],COUNTIF(tabSource[Liste],"=0")+ROW(A185)-1))," ")</f>
        <v xml:space="preserve"> </v>
      </c>
    </row>
    <row r="187" spans="24:24" x14ac:dyDescent="0.25">
      <c r="X187" t="str">
        <f>IFERROR(INDEX(tabSource[Artikel],SMALL(tabSource[Liste],COUNTIF(tabSource[Liste],"=0")+ROW(A186)-1))," ")</f>
        <v xml:space="preserve"> </v>
      </c>
    </row>
    <row r="188" spans="24:24" x14ac:dyDescent="0.25">
      <c r="X188" t="str">
        <f>IFERROR(INDEX(tabSource[Artikel],SMALL(tabSource[Liste],COUNTIF(tabSource[Liste],"=0")+ROW(A187)-1))," ")</f>
        <v xml:space="preserve"> </v>
      </c>
    </row>
    <row r="189" spans="24:24" x14ac:dyDescent="0.25">
      <c r="X189" t="str">
        <f>IFERROR(INDEX(tabSource[Artikel],SMALL(tabSource[Liste],COUNTIF(tabSource[Liste],"=0")+ROW(A188)-1))," ")</f>
        <v xml:space="preserve"> </v>
      </c>
    </row>
    <row r="190" spans="24:24" x14ac:dyDescent="0.25">
      <c r="X190" t="str">
        <f>IFERROR(INDEX(tabSource[Artikel],SMALL(tabSource[Liste],COUNTIF(tabSource[Liste],"=0")+ROW(A189)-1))," ")</f>
        <v xml:space="preserve"> </v>
      </c>
    </row>
    <row r="191" spans="24:24" x14ac:dyDescent="0.25">
      <c r="X191" t="str">
        <f>IFERROR(INDEX(tabSource[Artikel],SMALL(tabSource[Liste],COUNTIF(tabSource[Liste],"=0")+ROW(A190)-1))," ")</f>
        <v xml:space="preserve"> </v>
      </c>
    </row>
    <row r="192" spans="24:24" x14ac:dyDescent="0.25">
      <c r="X192" t="str">
        <f>IFERROR(INDEX(tabSource[Artikel],SMALL(tabSource[Liste],COUNTIF(tabSource[Liste],"=0")+ROW(A191)-1))," ")</f>
        <v xml:space="preserve"> </v>
      </c>
    </row>
    <row r="193" spans="24:24" x14ac:dyDescent="0.25">
      <c r="X193" t="str">
        <f>IFERROR(INDEX(tabSource[Artikel],SMALL(tabSource[Liste],COUNTIF(tabSource[Liste],"=0")+ROW(A192)-1))," ")</f>
        <v xml:space="preserve"> </v>
      </c>
    </row>
    <row r="194" spans="24:24" x14ac:dyDescent="0.25">
      <c r="X194" t="str">
        <f>IFERROR(INDEX(tabSource[Artikel],SMALL(tabSource[Liste],COUNTIF(tabSource[Liste],"=0")+ROW(A193)-1))," ")</f>
        <v xml:space="preserve"> </v>
      </c>
    </row>
    <row r="195" spans="24:24" x14ac:dyDescent="0.25">
      <c r="X195" t="str">
        <f>IFERROR(INDEX(tabSource[Artikel],SMALL(tabSource[Liste],COUNTIF(tabSource[Liste],"=0")+ROW(A194)-1))," ")</f>
        <v xml:space="preserve"> </v>
      </c>
    </row>
    <row r="196" spans="24:24" x14ac:dyDescent="0.25">
      <c r="X196" t="str">
        <f>IFERROR(INDEX(tabSource[Artikel],SMALL(tabSource[Liste],COUNTIF(tabSource[Liste],"=0")+ROW(A195)-1))," ")</f>
        <v xml:space="preserve"> </v>
      </c>
    </row>
    <row r="197" spans="24:24" x14ac:dyDescent="0.25">
      <c r="X197" t="str">
        <f>IFERROR(INDEX(tabSource[Artikel],SMALL(tabSource[Liste],COUNTIF(tabSource[Liste],"=0")+ROW(A196)-1))," ")</f>
        <v xml:space="preserve"> </v>
      </c>
    </row>
    <row r="198" spans="24:24" x14ac:dyDescent="0.25">
      <c r="X198" t="str">
        <f>IFERROR(INDEX(tabSource[Artikel],SMALL(tabSource[Liste],COUNTIF(tabSource[Liste],"=0")+ROW(A197)-1))," ")</f>
        <v xml:space="preserve"> </v>
      </c>
    </row>
    <row r="199" spans="24:24" x14ac:dyDescent="0.25">
      <c r="X199" t="str">
        <f>IFERROR(INDEX(tabSource[Artikel],SMALL(tabSource[Liste],COUNTIF(tabSource[Liste],"=0")+ROW(A198)-1))," ")</f>
        <v xml:space="preserve"> </v>
      </c>
    </row>
    <row r="200" spans="24:24" x14ac:dyDescent="0.25">
      <c r="X200" t="str">
        <f>IFERROR(INDEX(tabSource[Artikel],SMALL(tabSource[Liste],COUNTIF(tabSource[Liste],"=0")+ROW(A199)-1))," ")</f>
        <v xml:space="preserve"> </v>
      </c>
    </row>
    <row r="201" spans="24:24" x14ac:dyDescent="0.25">
      <c r="X201" t="str">
        <f>IFERROR(INDEX(tabSource[Artikel],SMALL(tabSource[Liste],COUNTIF(tabSource[Liste],"=0")+ROW(A200)-1))," ")</f>
        <v xml:space="preserve"> </v>
      </c>
    </row>
    <row r="202" spans="24:24" x14ac:dyDescent="0.25">
      <c r="X202" t="str">
        <f>IFERROR(INDEX(tabSource[Artikel],SMALL(tabSource[Liste],COUNTIF(tabSource[Liste],"=0")+ROW(A201)-1))," ")</f>
        <v xml:space="preserve"> </v>
      </c>
    </row>
    <row r="203" spans="24:24" x14ac:dyDescent="0.25">
      <c r="X203" t="str">
        <f>IFERROR(INDEX(tabSource[Artikel],SMALL(tabSource[Liste],COUNTIF(tabSource[Liste],"=0")+ROW(A202)-1))," ")</f>
        <v xml:space="preserve"> </v>
      </c>
    </row>
    <row r="204" spans="24:24" x14ac:dyDescent="0.25">
      <c r="X204" t="str">
        <f>IFERROR(INDEX(tabSource[Artikel],SMALL(tabSource[Liste],COUNTIF(tabSource[Liste],"=0")+ROW(A203)-1))," ")</f>
        <v xml:space="preserve"> </v>
      </c>
    </row>
    <row r="205" spans="24:24" x14ac:dyDescent="0.25">
      <c r="X205" t="str">
        <f>IFERROR(INDEX(tabSource[Artikel],SMALL(tabSource[Liste],COUNTIF(tabSource[Liste],"=0")+ROW(A204)-1))," ")</f>
        <v xml:space="preserve"> </v>
      </c>
    </row>
    <row r="206" spans="24:24" x14ac:dyDescent="0.25">
      <c r="X206" t="str">
        <f>IFERROR(INDEX(tabSource[Artikel],SMALL(tabSource[Liste],COUNTIF(tabSource[Liste],"=0")+ROW(A205)-1))," ")</f>
        <v xml:space="preserve"> </v>
      </c>
    </row>
    <row r="207" spans="24:24" x14ac:dyDescent="0.25">
      <c r="X207" t="str">
        <f>IFERROR(INDEX(tabSource[Artikel],SMALL(tabSource[Liste],COUNTIF(tabSource[Liste],"=0")+ROW(A206)-1))," ")</f>
        <v xml:space="preserve"> </v>
      </c>
    </row>
    <row r="208" spans="24:24" x14ac:dyDescent="0.25">
      <c r="X208" t="str">
        <f>IFERROR(INDEX(tabSource[Artikel],SMALL(tabSource[Liste],COUNTIF(tabSource[Liste],"=0")+ROW(A207)-1))," ")</f>
        <v xml:space="preserve"> </v>
      </c>
    </row>
    <row r="209" spans="24:24" x14ac:dyDescent="0.25">
      <c r="X209" t="str">
        <f>IFERROR(INDEX(tabSource[Artikel],SMALL(tabSource[Liste],COUNTIF(tabSource[Liste],"=0")+ROW(A208)-1))," ")</f>
        <v xml:space="preserve"> </v>
      </c>
    </row>
    <row r="210" spans="24:24" x14ac:dyDescent="0.25">
      <c r="X210" t="str">
        <f>IFERROR(INDEX(tabSource[Artikel],SMALL(tabSource[Liste],COUNTIF(tabSource[Liste],"=0")+ROW(A209)-1))," ")</f>
        <v xml:space="preserve"> </v>
      </c>
    </row>
    <row r="211" spans="24:24" x14ac:dyDescent="0.25">
      <c r="X211" t="str">
        <f>IFERROR(INDEX(tabSource[Artikel],SMALL(tabSource[Liste],COUNTIF(tabSource[Liste],"=0")+ROW(A210)-1))," ")</f>
        <v xml:space="preserve"> </v>
      </c>
    </row>
    <row r="212" spans="24:24" x14ac:dyDescent="0.25">
      <c r="X212" t="str">
        <f>IFERROR(INDEX(tabSource[Artikel],SMALL(tabSource[Liste],COUNTIF(tabSource[Liste],"=0")+ROW(A211)-1))," ")</f>
        <v xml:space="preserve"> </v>
      </c>
    </row>
    <row r="213" spans="24:24" x14ac:dyDescent="0.25">
      <c r="X213" t="str">
        <f>IFERROR(INDEX(tabSource[Artikel],SMALL(tabSource[Liste],COUNTIF(tabSource[Liste],"=0")+ROW(A212)-1))," ")</f>
        <v xml:space="preserve"> </v>
      </c>
    </row>
    <row r="214" spans="24:24" x14ac:dyDescent="0.25">
      <c r="X214" t="str">
        <f>IFERROR(INDEX(tabSource[Artikel],SMALL(tabSource[Liste],COUNTIF(tabSource[Liste],"=0")+ROW(A213)-1))," ")</f>
        <v xml:space="preserve"> </v>
      </c>
    </row>
    <row r="215" spans="24:24" x14ac:dyDescent="0.25">
      <c r="X215" t="str">
        <f>IFERROR(INDEX(tabSource[Artikel],SMALL(tabSource[Liste],COUNTIF(tabSource[Liste],"=0")+ROW(A214)-1))," ")</f>
        <v xml:space="preserve"> </v>
      </c>
    </row>
    <row r="216" spans="24:24" x14ac:dyDescent="0.25">
      <c r="X216" t="str">
        <f>IFERROR(INDEX(tabSource[Artikel],SMALL(tabSource[Liste],COUNTIF(tabSource[Liste],"=0")+ROW(A215)-1))," ")</f>
        <v xml:space="preserve"> </v>
      </c>
    </row>
    <row r="217" spans="24:24" x14ac:dyDescent="0.25">
      <c r="X217" t="str">
        <f>IFERROR(INDEX(tabSource[Artikel],SMALL(tabSource[Liste],COUNTIF(tabSource[Liste],"=0")+ROW(A216)-1))," ")</f>
        <v xml:space="preserve"> </v>
      </c>
    </row>
    <row r="218" spans="24:24" x14ac:dyDescent="0.25">
      <c r="X218" t="str">
        <f>IFERROR(INDEX(tabSource[Artikel],SMALL(tabSource[Liste],COUNTIF(tabSource[Liste],"=0")+ROW(A217)-1))," ")</f>
        <v xml:space="preserve"> </v>
      </c>
    </row>
    <row r="219" spans="24:24" x14ac:dyDescent="0.25">
      <c r="X219" t="str">
        <f>IFERROR(INDEX(tabSource[Artikel],SMALL(tabSource[Liste],COUNTIF(tabSource[Liste],"=0")+ROW(A218)-1))," ")</f>
        <v xml:space="preserve"> </v>
      </c>
    </row>
    <row r="220" spans="24:24" x14ac:dyDescent="0.25">
      <c r="X220" t="str">
        <f>IFERROR(INDEX(tabSource[Artikel],SMALL(tabSource[Liste],COUNTIF(tabSource[Liste],"=0")+ROW(A219)-1))," ")</f>
        <v xml:space="preserve"> </v>
      </c>
    </row>
    <row r="221" spans="24:24" x14ac:dyDescent="0.25">
      <c r="X221" t="str">
        <f>IFERROR(INDEX(tabSource[Artikel],SMALL(tabSource[Liste],COUNTIF(tabSource[Liste],"=0")+ROW(A220)-1))," ")</f>
        <v xml:space="preserve"> </v>
      </c>
    </row>
    <row r="222" spans="24:24" x14ac:dyDescent="0.25">
      <c r="X222" t="str">
        <f>IFERROR(INDEX(tabSource[Artikel],SMALL(tabSource[Liste],COUNTIF(tabSource[Liste],"=0")+ROW(A221)-1))," ")</f>
        <v xml:space="preserve"> </v>
      </c>
    </row>
    <row r="223" spans="24:24" x14ac:dyDescent="0.25">
      <c r="X223" t="str">
        <f>IFERROR(INDEX(tabSource[Artikel],SMALL(tabSource[Liste],COUNTIF(tabSource[Liste],"=0")+ROW(A222)-1))," ")</f>
        <v xml:space="preserve"> </v>
      </c>
    </row>
    <row r="224" spans="24:24" x14ac:dyDescent="0.25">
      <c r="X224" t="str">
        <f>IFERROR(INDEX(tabSource[Artikel],SMALL(tabSource[Liste],COUNTIF(tabSource[Liste],"=0")+ROW(A223)-1))," ")</f>
        <v xml:space="preserve"> </v>
      </c>
    </row>
    <row r="225" spans="24:24" x14ac:dyDescent="0.25">
      <c r="X225" t="str">
        <f>IFERROR(INDEX(tabSource[Artikel],SMALL(tabSource[Liste],COUNTIF(tabSource[Liste],"=0")+ROW(A224)-1))," ")</f>
        <v xml:space="preserve"> </v>
      </c>
    </row>
    <row r="226" spans="24:24" x14ac:dyDescent="0.25">
      <c r="X226" t="str">
        <f>IFERROR(INDEX(tabSource[Artikel],SMALL(tabSource[Liste],COUNTIF(tabSource[Liste],"=0")+ROW(A225)-1))," ")</f>
        <v xml:space="preserve"> </v>
      </c>
    </row>
    <row r="227" spans="24:24" x14ac:dyDescent="0.25">
      <c r="X227" t="str">
        <f>IFERROR(INDEX(tabSource[Artikel],SMALL(tabSource[Liste],COUNTIF(tabSource[Liste],"=0")+ROW(A226)-1))," ")</f>
        <v xml:space="preserve"> </v>
      </c>
    </row>
    <row r="228" spans="24:24" x14ac:dyDescent="0.25">
      <c r="X228" t="str">
        <f>IFERROR(INDEX(tabSource[Artikel],SMALL(tabSource[Liste],COUNTIF(tabSource[Liste],"=0")+ROW(A227)-1))," ")</f>
        <v xml:space="preserve"> </v>
      </c>
    </row>
    <row r="229" spans="24:24" x14ac:dyDescent="0.25">
      <c r="X229" t="str">
        <f>IFERROR(INDEX(tabSource[Artikel],SMALL(tabSource[Liste],COUNTIF(tabSource[Liste],"=0")+ROW(A228)-1))," ")</f>
        <v xml:space="preserve"> </v>
      </c>
    </row>
    <row r="230" spans="24:24" x14ac:dyDescent="0.25">
      <c r="X230" t="str">
        <f>IFERROR(INDEX(tabSource[Artikel],SMALL(tabSource[Liste],COUNTIF(tabSource[Liste],"=0")+ROW(A229)-1))," ")</f>
        <v xml:space="preserve"> </v>
      </c>
    </row>
    <row r="231" spans="24:24" x14ac:dyDescent="0.25">
      <c r="X231" t="str">
        <f>IFERROR(INDEX(tabSource[Artikel],SMALL(tabSource[Liste],COUNTIF(tabSource[Liste],"=0")+ROW(A230)-1))," ")</f>
        <v xml:space="preserve"> </v>
      </c>
    </row>
    <row r="232" spans="24:24" x14ac:dyDescent="0.25">
      <c r="X232" t="str">
        <f>IFERROR(INDEX(tabSource[Artikel],SMALL(tabSource[Liste],COUNTIF(tabSource[Liste],"=0")+ROW(A231)-1))," ")</f>
        <v xml:space="preserve"> </v>
      </c>
    </row>
    <row r="233" spans="24:24" x14ac:dyDescent="0.25">
      <c r="X233" t="str">
        <f>IFERROR(INDEX(tabSource[Artikel],SMALL(tabSource[Liste],COUNTIF(tabSource[Liste],"=0")+ROW(A232)-1))," ")</f>
        <v xml:space="preserve"> </v>
      </c>
    </row>
    <row r="234" spans="24:24" x14ac:dyDescent="0.25">
      <c r="X234" t="str">
        <f>IFERROR(INDEX(tabSource[Artikel],SMALL(tabSource[Liste],COUNTIF(tabSource[Liste],"=0")+ROW(A233)-1))," ")</f>
        <v xml:space="preserve"> </v>
      </c>
    </row>
    <row r="235" spans="24:24" x14ac:dyDescent="0.25">
      <c r="X235" t="str">
        <f>IFERROR(INDEX(tabSource[Artikel],SMALL(tabSource[Liste],COUNTIF(tabSource[Liste],"=0")+ROW(A234)-1))," ")</f>
        <v xml:space="preserve"> </v>
      </c>
    </row>
    <row r="236" spans="24:24" x14ac:dyDescent="0.25">
      <c r="X236" t="str">
        <f>IFERROR(INDEX(tabSource[Artikel],SMALL(tabSource[Liste],COUNTIF(tabSource[Liste],"=0")+ROW(A235)-1))," ")</f>
        <v xml:space="preserve"> </v>
      </c>
    </row>
    <row r="237" spans="24:24" x14ac:dyDescent="0.25">
      <c r="X237" t="str">
        <f>IFERROR(INDEX(tabSource[Artikel],SMALL(tabSource[Liste],COUNTIF(tabSource[Liste],"=0")+ROW(A236)-1))," ")</f>
        <v xml:space="preserve"> </v>
      </c>
    </row>
    <row r="238" spans="24:24" x14ac:dyDescent="0.25">
      <c r="X238" t="str">
        <f>IFERROR(INDEX(tabSource[Artikel],SMALL(tabSource[Liste],COUNTIF(tabSource[Liste],"=0")+ROW(A237)-1))," ")</f>
        <v xml:space="preserve"> </v>
      </c>
    </row>
    <row r="239" spans="24:24" x14ac:dyDescent="0.25">
      <c r="X239" t="str">
        <f>IFERROR(INDEX(tabSource[Artikel],SMALL(tabSource[Liste],COUNTIF(tabSource[Liste],"=0")+ROW(A238)-1))," ")</f>
        <v xml:space="preserve"> </v>
      </c>
    </row>
    <row r="240" spans="24:24" x14ac:dyDescent="0.25">
      <c r="X240" t="str">
        <f>IFERROR(INDEX(tabSource[Artikel],SMALL(tabSource[Liste],COUNTIF(tabSource[Liste],"=0")+ROW(A239)-1))," ")</f>
        <v xml:space="preserve"> </v>
      </c>
    </row>
    <row r="241" spans="24:24" x14ac:dyDescent="0.25">
      <c r="X241" t="str">
        <f>IFERROR(INDEX(tabSource[Artikel],SMALL(tabSource[Liste],COUNTIF(tabSource[Liste],"=0")+ROW(A240)-1))," ")</f>
        <v xml:space="preserve"> </v>
      </c>
    </row>
    <row r="242" spans="24:24" x14ac:dyDescent="0.25">
      <c r="X242" t="str">
        <f>IFERROR(INDEX(tabSource[Artikel],SMALL(tabSource[Liste],COUNTIF(tabSource[Liste],"=0")+ROW(A241)-1))," ")</f>
        <v xml:space="preserve"> </v>
      </c>
    </row>
    <row r="243" spans="24:24" x14ac:dyDescent="0.25">
      <c r="X243" t="str">
        <f>IFERROR(INDEX(tabSource[Artikel],SMALL(tabSource[Liste],COUNTIF(tabSource[Liste],"=0")+ROW(A242)-1))," ")</f>
        <v xml:space="preserve"> </v>
      </c>
    </row>
    <row r="244" spans="24:24" x14ac:dyDescent="0.25">
      <c r="X244" t="str">
        <f>IFERROR(INDEX(tabSource[Artikel],SMALL(tabSource[Liste],COUNTIF(tabSource[Liste],"=0")+ROW(A243)-1))," ")</f>
        <v xml:space="preserve"> </v>
      </c>
    </row>
    <row r="245" spans="24:24" x14ac:dyDescent="0.25">
      <c r="X245" t="str">
        <f>IFERROR(INDEX(tabSource[Artikel],SMALL(tabSource[Liste],COUNTIF(tabSource[Liste],"=0")+ROW(A244)-1))," ")</f>
        <v xml:space="preserve"> </v>
      </c>
    </row>
    <row r="246" spans="24:24" x14ac:dyDescent="0.25">
      <c r="X246" t="str">
        <f>IFERROR(INDEX(tabSource[Artikel],SMALL(tabSource[Liste],COUNTIF(tabSource[Liste],"=0")+ROW(A245)-1))," ")</f>
        <v xml:space="preserve"> </v>
      </c>
    </row>
    <row r="247" spans="24:24" x14ac:dyDescent="0.25">
      <c r="X247" t="str">
        <f>IFERROR(INDEX(tabSource[Artikel],SMALL(tabSource[Liste],COUNTIF(tabSource[Liste],"=0")+ROW(A246)-1))," ")</f>
        <v xml:space="preserve"> </v>
      </c>
    </row>
    <row r="248" spans="24:24" x14ac:dyDescent="0.25">
      <c r="X248" t="str">
        <f>IFERROR(INDEX(tabSource[Artikel],SMALL(tabSource[Liste],COUNTIF(tabSource[Liste],"=0")+ROW(A247)-1))," ")</f>
        <v xml:space="preserve"> </v>
      </c>
    </row>
    <row r="249" spans="24:24" x14ac:dyDescent="0.25">
      <c r="X249" t="str">
        <f>IFERROR(INDEX(tabSource[Artikel],SMALL(tabSource[Liste],COUNTIF(tabSource[Liste],"=0")+ROW(A248)-1))," ")</f>
        <v xml:space="preserve"> </v>
      </c>
    </row>
    <row r="250" spans="24:24" x14ac:dyDescent="0.25">
      <c r="X250" t="str">
        <f>IFERROR(INDEX(tabSource[Artikel],SMALL(tabSource[Liste],COUNTIF(tabSource[Liste],"=0")+ROW(A249)-1))," ")</f>
        <v xml:space="preserve"> </v>
      </c>
    </row>
    <row r="251" spans="24:24" x14ac:dyDescent="0.25">
      <c r="X251" t="str">
        <f>IFERROR(INDEX(tabSource[Artikel],SMALL(tabSource[Liste],COUNTIF(tabSource[Liste],"=0")+ROW(A250)-1))," ")</f>
        <v xml:space="preserve"> </v>
      </c>
    </row>
    <row r="252" spans="24:24" x14ac:dyDescent="0.25">
      <c r="X252" t="str">
        <f>IFERROR(INDEX(tabSource[Artikel],SMALL(tabSource[Liste],COUNTIF(tabSource[Liste],"=0")+ROW(A251)-1))," ")</f>
        <v xml:space="preserve"> </v>
      </c>
    </row>
    <row r="253" spans="24:24" x14ac:dyDescent="0.25">
      <c r="X253" t="str">
        <f>IFERROR(INDEX(tabSource[Artikel],SMALL(tabSource[Liste],COUNTIF(tabSource[Liste],"=0")+ROW(A252)-1))," ")</f>
        <v xml:space="preserve"> </v>
      </c>
    </row>
    <row r="254" spans="24:24" x14ac:dyDescent="0.25">
      <c r="X254" t="str">
        <f>IFERROR(INDEX(tabSource[Artikel],SMALL(tabSource[Liste],COUNTIF(tabSource[Liste],"=0")+ROW(A253)-1))," ")</f>
        <v xml:space="preserve"> </v>
      </c>
    </row>
    <row r="255" spans="24:24" x14ac:dyDescent="0.25">
      <c r="X255" t="str">
        <f>IFERROR(INDEX(tabSource[Artikel],SMALL(tabSource[Liste],COUNTIF(tabSource[Liste],"=0")+ROW(A254)-1))," ")</f>
        <v xml:space="preserve"> </v>
      </c>
    </row>
    <row r="256" spans="24:24" x14ac:dyDescent="0.25">
      <c r="X256" t="str">
        <f>IFERROR(INDEX(tabSource[Artikel],SMALL(tabSource[Liste],COUNTIF(tabSource[Liste],"=0")+ROW(A255)-1))," ")</f>
        <v xml:space="preserve"> </v>
      </c>
    </row>
    <row r="257" spans="24:24" x14ac:dyDescent="0.25">
      <c r="X257" t="str">
        <f>IFERROR(INDEX(tabSource[Artikel],SMALL(tabSource[Liste],COUNTIF(tabSource[Liste],"=0")+ROW(A256)-1))," ")</f>
        <v xml:space="preserve"> </v>
      </c>
    </row>
    <row r="258" spans="24:24" x14ac:dyDescent="0.25">
      <c r="X258" t="str">
        <f>IFERROR(INDEX(tabSource[Artikel],SMALL(tabSource[Liste],COUNTIF(tabSource[Liste],"=0")+ROW(A257)-1))," ")</f>
        <v xml:space="preserve"> </v>
      </c>
    </row>
    <row r="259" spans="24:24" x14ac:dyDescent="0.25">
      <c r="X259" t="str">
        <f>IFERROR(INDEX(tabSource[Artikel],SMALL(tabSource[Liste],COUNTIF(tabSource[Liste],"=0")+ROW(A258)-1))," ")</f>
        <v xml:space="preserve"> </v>
      </c>
    </row>
    <row r="260" spans="24:24" x14ac:dyDescent="0.25">
      <c r="X260" t="str">
        <f>IFERROR(INDEX(tabSource[Artikel],SMALL(tabSource[Liste],COUNTIF(tabSource[Liste],"=0")+ROW(A259)-1))," ")</f>
        <v xml:space="preserve"> </v>
      </c>
    </row>
    <row r="261" spans="24:24" x14ac:dyDescent="0.25">
      <c r="X261" t="str">
        <f>IFERROR(INDEX(tabSource[Artikel],SMALL(tabSource[Liste],COUNTIF(tabSource[Liste],"=0")+ROW(A260)-1))," ")</f>
        <v xml:space="preserve"> </v>
      </c>
    </row>
    <row r="262" spans="24:24" x14ac:dyDescent="0.25">
      <c r="X262" t="str">
        <f>IFERROR(INDEX(tabSource[Artikel],SMALL(tabSource[Liste],COUNTIF(tabSource[Liste],"=0")+ROW(A261)-1))," ")</f>
        <v xml:space="preserve"> </v>
      </c>
    </row>
    <row r="263" spans="24:24" x14ac:dyDescent="0.25">
      <c r="X263" t="str">
        <f>IFERROR(INDEX(tabSource[Artikel],SMALL(tabSource[Liste],COUNTIF(tabSource[Liste],"=0")+ROW(A262)-1))," ")</f>
        <v xml:space="preserve"> </v>
      </c>
    </row>
    <row r="264" spans="24:24" x14ac:dyDescent="0.25">
      <c r="X264" t="str">
        <f>IFERROR(INDEX(tabSource[Artikel],SMALL(tabSource[Liste],COUNTIF(tabSource[Liste],"=0")+ROW(A263)-1))," ")</f>
        <v xml:space="preserve"> </v>
      </c>
    </row>
    <row r="265" spans="24:24" x14ac:dyDescent="0.25">
      <c r="X265" t="str">
        <f>IFERROR(INDEX(tabSource[Artikel],SMALL(tabSource[Liste],COUNTIF(tabSource[Liste],"=0")+ROW(A264)-1))," ")</f>
        <v xml:space="preserve"> </v>
      </c>
    </row>
    <row r="266" spans="24:24" x14ac:dyDescent="0.25">
      <c r="X266" t="str">
        <f>IFERROR(INDEX(tabSource[Artikel],SMALL(tabSource[Liste],COUNTIF(tabSource[Liste],"=0")+ROW(A265)-1))," ")</f>
        <v xml:space="preserve"> </v>
      </c>
    </row>
    <row r="267" spans="24:24" x14ac:dyDescent="0.25">
      <c r="X267" t="str">
        <f>IFERROR(INDEX(tabSource[Artikel],SMALL(tabSource[Liste],COUNTIF(tabSource[Liste],"=0")+ROW(A266)-1))," ")</f>
        <v xml:space="preserve"> </v>
      </c>
    </row>
    <row r="268" spans="24:24" x14ac:dyDescent="0.25">
      <c r="X268" t="str">
        <f>IFERROR(INDEX(tabSource[Artikel],SMALL(tabSource[Liste],COUNTIF(tabSource[Liste],"=0")+ROW(A267)-1))," ")</f>
        <v xml:space="preserve"> </v>
      </c>
    </row>
    <row r="269" spans="24:24" x14ac:dyDescent="0.25">
      <c r="X269" t="str">
        <f>IFERROR(INDEX(tabSource[Artikel],SMALL(tabSource[Liste],COUNTIF(tabSource[Liste],"=0")+ROW(A268)-1))," ")</f>
        <v xml:space="preserve"> </v>
      </c>
    </row>
    <row r="270" spans="24:24" x14ac:dyDescent="0.25">
      <c r="X270" t="str">
        <f>IFERROR(INDEX(tabSource[Artikel],SMALL(tabSource[Liste],COUNTIF(tabSource[Liste],"=0")+ROW(A269)-1))," ")</f>
        <v xml:space="preserve"> </v>
      </c>
    </row>
    <row r="271" spans="24:24" x14ac:dyDescent="0.25">
      <c r="X271" t="str">
        <f>IFERROR(INDEX(tabSource[Artikel],SMALL(tabSource[Liste],COUNTIF(tabSource[Liste],"=0")+ROW(A270)-1))," ")</f>
        <v xml:space="preserve"> </v>
      </c>
    </row>
    <row r="272" spans="24:24" x14ac:dyDescent="0.25">
      <c r="X272" t="str">
        <f>IFERROR(INDEX(tabSource[Artikel],SMALL(tabSource[Liste],COUNTIF(tabSource[Liste],"=0")+ROW(A271)-1))," ")</f>
        <v xml:space="preserve"> </v>
      </c>
    </row>
    <row r="273" spans="24:24" x14ac:dyDescent="0.25">
      <c r="X273" t="str">
        <f>IFERROR(INDEX(tabSource[Artikel],SMALL(tabSource[Liste],COUNTIF(tabSource[Liste],"=0")+ROW(A272)-1))," ")</f>
        <v xml:space="preserve"> </v>
      </c>
    </row>
    <row r="274" spans="24:24" x14ac:dyDescent="0.25">
      <c r="X274" t="str">
        <f>IFERROR(INDEX(tabSource[Artikel],SMALL(tabSource[Liste],COUNTIF(tabSource[Liste],"=0")+ROW(A273)-1))," ")</f>
        <v xml:space="preserve"> </v>
      </c>
    </row>
    <row r="275" spans="24:24" x14ac:dyDescent="0.25">
      <c r="X275" t="str">
        <f>IFERROR(INDEX(tabSource[Artikel],SMALL(tabSource[Liste],COUNTIF(tabSource[Liste],"=0")+ROW(A274)-1))," ")</f>
        <v xml:space="preserve"> </v>
      </c>
    </row>
    <row r="276" spans="24:24" x14ac:dyDescent="0.25">
      <c r="X276" t="str">
        <f>IFERROR(INDEX(tabSource[Artikel],SMALL(tabSource[Liste],COUNTIF(tabSource[Liste],"=0")+ROW(A275)-1))," ")</f>
        <v xml:space="preserve"> </v>
      </c>
    </row>
    <row r="277" spans="24:24" x14ac:dyDescent="0.25">
      <c r="X277" t="str">
        <f>IFERROR(INDEX(tabSource[Artikel],SMALL(tabSource[Liste],COUNTIF(tabSource[Liste],"=0")+ROW(A276)-1))," ")</f>
        <v xml:space="preserve"> </v>
      </c>
    </row>
    <row r="278" spans="24:24" x14ac:dyDescent="0.25">
      <c r="X278" t="str">
        <f>IFERROR(INDEX(tabSource[Artikel],SMALL(tabSource[Liste],COUNTIF(tabSource[Liste],"=0")+ROW(A277)-1))," ")</f>
        <v xml:space="preserve"> </v>
      </c>
    </row>
    <row r="279" spans="24:24" x14ac:dyDescent="0.25">
      <c r="X279" t="str">
        <f>IFERROR(INDEX(tabSource[Artikel],SMALL(tabSource[Liste],COUNTIF(tabSource[Liste],"=0")+ROW(A278)-1))," ")</f>
        <v xml:space="preserve"> </v>
      </c>
    </row>
    <row r="280" spans="24:24" x14ac:dyDescent="0.25">
      <c r="X280" t="str">
        <f>IFERROR(INDEX(tabSource[Artikel],SMALL(tabSource[Liste],COUNTIF(tabSource[Liste],"=0")+ROW(A279)-1))," ")</f>
        <v xml:space="preserve"> </v>
      </c>
    </row>
    <row r="281" spans="24:24" x14ac:dyDescent="0.25">
      <c r="X281" t="str">
        <f>IFERROR(INDEX(tabSource[Artikel],SMALL(tabSource[Liste],COUNTIF(tabSource[Liste],"=0")+ROW(A280)-1))," ")</f>
        <v xml:space="preserve"> </v>
      </c>
    </row>
    <row r="282" spans="24:24" x14ac:dyDescent="0.25">
      <c r="X282" t="str">
        <f>IFERROR(INDEX(tabSource[Artikel],SMALL(tabSource[Liste],COUNTIF(tabSource[Liste],"=0")+ROW(A281)-1))," ")</f>
        <v xml:space="preserve"> </v>
      </c>
    </row>
    <row r="283" spans="24:24" x14ac:dyDescent="0.25">
      <c r="X283" t="str">
        <f>IFERROR(INDEX(tabSource[Artikel],SMALL(tabSource[Liste],COUNTIF(tabSource[Liste],"=0")+ROW(A282)-1))," ")</f>
        <v xml:space="preserve"> </v>
      </c>
    </row>
    <row r="284" spans="24:24" x14ac:dyDescent="0.25">
      <c r="X284" t="str">
        <f>IFERROR(INDEX(tabSource[Artikel],SMALL(tabSource[Liste],COUNTIF(tabSource[Liste],"=0")+ROW(A283)-1))," ")</f>
        <v xml:space="preserve"> </v>
      </c>
    </row>
    <row r="285" spans="24:24" x14ac:dyDescent="0.25">
      <c r="X285" t="str">
        <f>IFERROR(INDEX(tabSource[Artikel],SMALL(tabSource[Liste],COUNTIF(tabSource[Liste],"=0")+ROW(A284)-1))," ")</f>
        <v xml:space="preserve"> </v>
      </c>
    </row>
    <row r="286" spans="24:24" x14ac:dyDescent="0.25">
      <c r="X286" t="str">
        <f>IFERROR(INDEX(tabSource[Artikel],SMALL(tabSource[Liste],COUNTIF(tabSource[Liste],"=0")+ROW(A285)-1))," ")</f>
        <v xml:space="preserve"> </v>
      </c>
    </row>
    <row r="287" spans="24:24" x14ac:dyDescent="0.25">
      <c r="X287" t="str">
        <f>IFERROR(INDEX(tabSource[Artikel],SMALL(tabSource[Liste],COUNTIF(tabSource[Liste],"=0")+ROW(A286)-1))," ")</f>
        <v xml:space="preserve"> </v>
      </c>
    </row>
    <row r="288" spans="24:24" x14ac:dyDescent="0.25">
      <c r="X288" t="str">
        <f>IFERROR(INDEX(tabSource[Artikel],SMALL(tabSource[Liste],COUNTIF(tabSource[Liste],"=0")+ROW(A287)-1))," ")</f>
        <v xml:space="preserve"> </v>
      </c>
    </row>
    <row r="289" spans="24:24" x14ac:dyDescent="0.25">
      <c r="X289" t="str">
        <f>IFERROR(INDEX(tabSource[Artikel],SMALL(tabSource[Liste],COUNTIF(tabSource[Liste],"=0")+ROW(A288)-1))," ")</f>
        <v xml:space="preserve"> </v>
      </c>
    </row>
    <row r="290" spans="24:24" x14ac:dyDescent="0.25">
      <c r="X290" t="str">
        <f>IFERROR(INDEX(tabSource[Artikel],SMALL(tabSource[Liste],COUNTIF(tabSource[Liste],"=0")+ROW(A289)-1))," ")</f>
        <v xml:space="preserve"> </v>
      </c>
    </row>
    <row r="291" spans="24:24" x14ac:dyDescent="0.25">
      <c r="X291" t="str">
        <f>IFERROR(INDEX(tabSource[Artikel],SMALL(tabSource[Liste],COUNTIF(tabSource[Liste],"=0")+ROW(A290)-1))," ")</f>
        <v xml:space="preserve"> </v>
      </c>
    </row>
    <row r="292" spans="24:24" x14ac:dyDescent="0.25">
      <c r="X292" t="str">
        <f>IFERROR(INDEX(tabSource[Artikel],SMALL(tabSource[Liste],COUNTIF(tabSource[Liste],"=0")+ROW(A291)-1))," ")</f>
        <v xml:space="preserve"> </v>
      </c>
    </row>
    <row r="293" spans="24:24" x14ac:dyDescent="0.25">
      <c r="X293" t="str">
        <f>IFERROR(INDEX(tabSource[Artikel],SMALL(tabSource[Liste],COUNTIF(tabSource[Liste],"=0")+ROW(A292)-1))," ")</f>
        <v xml:space="preserve"> </v>
      </c>
    </row>
    <row r="294" spans="24:24" x14ac:dyDescent="0.25">
      <c r="X294" t="str">
        <f>IFERROR(INDEX(tabSource[Artikel],SMALL(tabSource[Liste],COUNTIF(tabSource[Liste],"=0")+ROW(A293)-1))," ")</f>
        <v xml:space="preserve"> </v>
      </c>
    </row>
    <row r="295" spans="24:24" x14ac:dyDescent="0.25">
      <c r="X295" t="str">
        <f>IFERROR(INDEX(tabSource[Artikel],SMALL(tabSource[Liste],COUNTIF(tabSource[Liste],"=0")+ROW(A294)-1))," ")</f>
        <v xml:space="preserve"> </v>
      </c>
    </row>
    <row r="296" spans="24:24" x14ac:dyDescent="0.25">
      <c r="X296" t="str">
        <f>IFERROR(INDEX(tabSource[Artikel],SMALL(tabSource[Liste],COUNTIF(tabSource[Liste],"=0")+ROW(A295)-1))," ")</f>
        <v xml:space="preserve"> </v>
      </c>
    </row>
    <row r="297" spans="24:24" x14ac:dyDescent="0.25">
      <c r="X297" t="str">
        <f>IFERROR(INDEX(tabSource[Artikel],SMALL(tabSource[Liste],COUNTIF(tabSource[Liste],"=0")+ROW(A296)-1))," ")</f>
        <v xml:space="preserve"> </v>
      </c>
    </row>
    <row r="298" spans="24:24" x14ac:dyDescent="0.25">
      <c r="X298" t="str">
        <f>IFERROR(INDEX(tabSource[Artikel],SMALL(tabSource[Liste],COUNTIF(tabSource[Liste],"=0")+ROW(A297)-1))," ")</f>
        <v xml:space="preserve"> </v>
      </c>
    </row>
    <row r="299" spans="24:24" x14ac:dyDescent="0.25">
      <c r="X299" t="str">
        <f>IFERROR(INDEX(tabSource[Artikel],SMALL(tabSource[Liste],COUNTIF(tabSource[Liste],"=0")+ROW(A298)-1))," ")</f>
        <v xml:space="preserve"> </v>
      </c>
    </row>
    <row r="300" spans="24:24" x14ac:dyDescent="0.25">
      <c r="X300" t="str">
        <f>IFERROR(INDEX(tabSource[Artikel],SMALL(tabSource[Liste],COUNTIF(tabSource[Liste],"=0")+ROW(A299)-1))," ")</f>
        <v xml:space="preserve"> </v>
      </c>
    </row>
    <row r="301" spans="24:24" x14ac:dyDescent="0.25">
      <c r="X301" t="str">
        <f>IFERROR(INDEX(tabSource[Artikel],SMALL(tabSource[Liste],COUNTIF(tabSource[Liste],"=0")+ROW(A300)-1))," ")</f>
        <v xml:space="preserve"> </v>
      </c>
    </row>
    <row r="302" spans="24:24" x14ac:dyDescent="0.25">
      <c r="X302" t="str">
        <f>IFERROR(INDEX(tabSource[Artikel],SMALL(tabSource[Liste],COUNTIF(tabSource[Liste],"=0")+ROW(A301)-1))," ")</f>
        <v xml:space="preserve"> </v>
      </c>
    </row>
    <row r="303" spans="24:24" x14ac:dyDescent="0.25">
      <c r="X303" t="str">
        <f>IFERROR(INDEX(tabSource[Artikel],SMALL(tabSource[Liste],COUNTIF(tabSource[Liste],"=0")+ROW(A302)-1))," ")</f>
        <v xml:space="preserve"> </v>
      </c>
    </row>
    <row r="304" spans="24:24" x14ac:dyDescent="0.25">
      <c r="X304" t="str">
        <f>IFERROR(INDEX(tabSource[Artikel],SMALL(tabSource[Liste],COUNTIF(tabSource[Liste],"=0")+ROW(A303)-1))," ")</f>
        <v xml:space="preserve"> </v>
      </c>
    </row>
    <row r="305" spans="24:24" x14ac:dyDescent="0.25">
      <c r="X305" t="str">
        <f>IFERROR(INDEX(tabSource[Artikel],SMALL(tabSource[Liste],COUNTIF(tabSource[Liste],"=0")+ROW(A304)-1))," ")</f>
        <v xml:space="preserve"> </v>
      </c>
    </row>
    <row r="306" spans="24:24" x14ac:dyDescent="0.25">
      <c r="X306" t="str">
        <f>IFERROR(INDEX(tabSource[Artikel],SMALL(tabSource[Liste],COUNTIF(tabSource[Liste],"=0")+ROW(A305)-1))," ")</f>
        <v xml:space="preserve"> </v>
      </c>
    </row>
    <row r="307" spans="24:24" x14ac:dyDescent="0.25">
      <c r="X307" t="str">
        <f>IFERROR(INDEX(tabSource[Artikel],SMALL(tabSource[Liste],COUNTIF(tabSource[Liste],"=0")+ROW(A306)-1))," ")</f>
        <v xml:space="preserve"> </v>
      </c>
    </row>
    <row r="308" spans="24:24" x14ac:dyDescent="0.25">
      <c r="X308" t="str">
        <f>IFERROR(INDEX(tabSource[Artikel],SMALL(tabSource[Liste],COUNTIF(tabSource[Liste],"=0")+ROW(A307)-1))," ")</f>
        <v xml:space="preserve"> </v>
      </c>
    </row>
    <row r="309" spans="24:24" x14ac:dyDescent="0.25">
      <c r="X309" t="str">
        <f>IFERROR(INDEX(tabSource[Artikel],SMALL(tabSource[Liste],COUNTIF(tabSource[Liste],"=0")+ROW(A308)-1))," ")</f>
        <v xml:space="preserve"> </v>
      </c>
    </row>
    <row r="310" spans="24:24" x14ac:dyDescent="0.25">
      <c r="X310" t="str">
        <f>IFERROR(INDEX(tabSource[Artikel],SMALL(tabSource[Liste],COUNTIF(tabSource[Liste],"=0")+ROW(A309)-1))," ")</f>
        <v xml:space="preserve"> </v>
      </c>
    </row>
    <row r="311" spans="24:24" x14ac:dyDescent="0.25">
      <c r="X311" t="str">
        <f>IFERROR(INDEX(tabSource[Artikel],SMALL(tabSource[Liste],COUNTIF(tabSource[Liste],"=0")+ROW(A310)-1))," ")</f>
        <v xml:space="preserve"> </v>
      </c>
    </row>
    <row r="312" spans="24:24" x14ac:dyDescent="0.25">
      <c r="X312" t="str">
        <f>IFERROR(INDEX(tabSource[Artikel],SMALL(tabSource[Liste],COUNTIF(tabSource[Liste],"=0")+ROW(A311)-1))," ")</f>
        <v xml:space="preserve"> </v>
      </c>
    </row>
    <row r="313" spans="24:24" x14ac:dyDescent="0.25">
      <c r="X313" t="str">
        <f>IFERROR(INDEX(tabSource[Artikel],SMALL(tabSource[Liste],COUNTIF(tabSource[Liste],"=0")+ROW(A312)-1))," ")</f>
        <v xml:space="preserve"> </v>
      </c>
    </row>
    <row r="314" spans="24:24" x14ac:dyDescent="0.25">
      <c r="X314" t="str">
        <f>IFERROR(INDEX(tabSource[Artikel],SMALL(tabSource[Liste],COUNTIF(tabSource[Liste],"=0")+ROW(A313)-1))," ")</f>
        <v xml:space="preserve"> </v>
      </c>
    </row>
    <row r="315" spans="24:24" x14ac:dyDescent="0.25">
      <c r="X315" t="str">
        <f>IFERROR(INDEX(tabSource[Artikel],SMALL(tabSource[Liste],COUNTIF(tabSource[Liste],"=0")+ROW(A314)-1))," ")</f>
        <v xml:space="preserve"> </v>
      </c>
    </row>
    <row r="316" spans="24:24" x14ac:dyDescent="0.25">
      <c r="X316" t="str">
        <f>IFERROR(INDEX(tabSource[Artikel],SMALL(tabSource[Liste],COUNTIF(tabSource[Liste],"=0")+ROW(A315)-1))," ")</f>
        <v xml:space="preserve"> </v>
      </c>
    </row>
    <row r="317" spans="24:24" x14ac:dyDescent="0.25">
      <c r="X317" t="str">
        <f>IFERROR(INDEX(tabSource[Artikel],SMALL(tabSource[Liste],COUNTIF(tabSource[Liste],"=0")+ROW(A316)-1))," ")</f>
        <v xml:space="preserve"> </v>
      </c>
    </row>
    <row r="318" spans="24:24" x14ac:dyDescent="0.25">
      <c r="X318" t="str">
        <f>IFERROR(INDEX(tabSource[Artikel],SMALL(tabSource[Liste],COUNTIF(tabSource[Liste],"=0")+ROW(A317)-1))," ")</f>
        <v xml:space="preserve"> </v>
      </c>
    </row>
    <row r="319" spans="24:24" x14ac:dyDescent="0.25">
      <c r="X319" t="str">
        <f>IFERROR(INDEX(tabSource[Artikel],SMALL(tabSource[Liste],COUNTIF(tabSource[Liste],"=0")+ROW(A318)-1))," ")</f>
        <v xml:space="preserve"> </v>
      </c>
    </row>
    <row r="320" spans="24:24" x14ac:dyDescent="0.25">
      <c r="X320" t="str">
        <f>IFERROR(INDEX(tabSource[Artikel],SMALL(tabSource[Liste],COUNTIF(tabSource[Liste],"=0")+ROW(A319)-1))," ")</f>
        <v xml:space="preserve"> </v>
      </c>
    </row>
    <row r="321" spans="24:24" x14ac:dyDescent="0.25">
      <c r="X321" t="str">
        <f>IFERROR(INDEX(tabSource[Artikel],SMALL(tabSource[Liste],COUNTIF(tabSource[Liste],"=0")+ROW(A320)-1))," ")</f>
        <v xml:space="preserve"> </v>
      </c>
    </row>
    <row r="322" spans="24:24" x14ac:dyDescent="0.25">
      <c r="X322" t="str">
        <f>IFERROR(INDEX(tabSource[Artikel],SMALL(tabSource[Liste],COUNTIF(tabSource[Liste],"=0")+ROW(A321)-1))," ")</f>
        <v xml:space="preserve"> </v>
      </c>
    </row>
    <row r="323" spans="24:24" x14ac:dyDescent="0.25">
      <c r="X323" t="str">
        <f>IFERROR(INDEX(tabSource[Artikel],SMALL(tabSource[Liste],COUNTIF(tabSource[Liste],"=0")+ROW(A322)-1))," ")</f>
        <v xml:space="preserve"> </v>
      </c>
    </row>
    <row r="324" spans="24:24" x14ac:dyDescent="0.25">
      <c r="X324" t="str">
        <f>IFERROR(INDEX(tabSource[Artikel],SMALL(tabSource[Liste],COUNTIF(tabSource[Liste],"=0")+ROW(A323)-1))," ")</f>
        <v xml:space="preserve"> </v>
      </c>
    </row>
    <row r="325" spans="24:24" x14ac:dyDescent="0.25">
      <c r="X325" t="str">
        <f>IFERROR(INDEX(tabSource[Artikel],SMALL(tabSource[Liste],COUNTIF(tabSource[Liste],"=0")+ROW(A324)-1))," ")</f>
        <v xml:space="preserve"> </v>
      </c>
    </row>
    <row r="326" spans="24:24" x14ac:dyDescent="0.25">
      <c r="X326" t="str">
        <f>IFERROR(INDEX(tabSource[Artikel],SMALL(tabSource[Liste],COUNTIF(tabSource[Liste],"=0")+ROW(A325)-1))," ")</f>
        <v xml:space="preserve"> </v>
      </c>
    </row>
    <row r="327" spans="24:24" x14ac:dyDescent="0.25">
      <c r="X327" t="str">
        <f>IFERROR(INDEX(tabSource[Artikel],SMALL(tabSource[Liste],COUNTIF(tabSource[Liste],"=0")+ROW(A326)-1))," ")</f>
        <v xml:space="preserve"> </v>
      </c>
    </row>
    <row r="328" spans="24:24" x14ac:dyDescent="0.25">
      <c r="X328" t="str">
        <f>IFERROR(INDEX(tabSource[Artikel],SMALL(tabSource[Liste],COUNTIF(tabSource[Liste],"=0")+ROW(A327)-1))," ")</f>
        <v xml:space="preserve"> </v>
      </c>
    </row>
    <row r="329" spans="24:24" x14ac:dyDescent="0.25">
      <c r="X329" t="str">
        <f>IFERROR(INDEX(tabSource[Artikel],SMALL(tabSource[Liste],COUNTIF(tabSource[Liste],"=0")+ROW(A328)-1))," ")</f>
        <v xml:space="preserve"> </v>
      </c>
    </row>
    <row r="330" spans="24:24" x14ac:dyDescent="0.25">
      <c r="X330" t="str">
        <f>IFERROR(INDEX(tabSource[Artikel],SMALL(tabSource[Liste],COUNTIF(tabSource[Liste],"=0")+ROW(A329)-1))," ")</f>
        <v xml:space="preserve"> </v>
      </c>
    </row>
    <row r="331" spans="24:24" x14ac:dyDescent="0.25">
      <c r="X331" t="str">
        <f>IFERROR(INDEX(tabSource[Artikel],SMALL(tabSource[Liste],COUNTIF(tabSource[Liste],"=0")+ROW(A330)-1))," ")</f>
        <v xml:space="preserve"> </v>
      </c>
    </row>
    <row r="332" spans="24:24" x14ac:dyDescent="0.25">
      <c r="X332" t="str">
        <f>IFERROR(INDEX(tabSource[Artikel],SMALL(tabSource[Liste],COUNTIF(tabSource[Liste],"=0")+ROW(A331)-1))," ")</f>
        <v xml:space="preserve"> </v>
      </c>
    </row>
    <row r="333" spans="24:24" x14ac:dyDescent="0.25">
      <c r="X333" t="str">
        <f>IFERROR(INDEX(tabSource[Artikel],SMALL(tabSource[Liste],COUNTIF(tabSource[Liste],"=0")+ROW(A332)-1))," ")</f>
        <v xml:space="preserve"> </v>
      </c>
    </row>
    <row r="334" spans="24:24" x14ac:dyDescent="0.25">
      <c r="X334" t="str">
        <f>IFERROR(INDEX(tabSource[Artikel],SMALL(tabSource[Liste],COUNTIF(tabSource[Liste],"=0")+ROW(A333)-1))," ")</f>
        <v xml:space="preserve"> </v>
      </c>
    </row>
    <row r="335" spans="24:24" x14ac:dyDescent="0.25">
      <c r="X335" t="str">
        <f>IFERROR(INDEX(tabSource[Artikel],SMALL(tabSource[Liste],COUNTIF(tabSource[Liste],"=0")+ROW(A334)-1))," ")</f>
        <v xml:space="preserve"> </v>
      </c>
    </row>
    <row r="336" spans="24:24" x14ac:dyDescent="0.25">
      <c r="X336" t="str">
        <f>IFERROR(INDEX(tabSource[Artikel],SMALL(tabSource[Liste],COUNTIF(tabSource[Liste],"=0")+ROW(A335)-1))," ")</f>
        <v xml:space="preserve"> </v>
      </c>
    </row>
    <row r="337" spans="24:24" x14ac:dyDescent="0.25">
      <c r="X337" t="str">
        <f>IFERROR(INDEX(tabSource[Artikel],SMALL(tabSource[Liste],COUNTIF(tabSource[Liste],"=0")+ROW(A336)-1))," ")</f>
        <v xml:space="preserve"> </v>
      </c>
    </row>
    <row r="338" spans="24:24" x14ac:dyDescent="0.25">
      <c r="X338" t="str">
        <f>IFERROR(INDEX(tabSource[Artikel],SMALL(tabSource[Liste],COUNTIF(tabSource[Liste],"=0")+ROW(A337)-1))," ")</f>
        <v xml:space="preserve"> </v>
      </c>
    </row>
    <row r="339" spans="24:24" x14ac:dyDescent="0.25">
      <c r="X339" t="str">
        <f>IFERROR(INDEX(tabSource[Artikel],SMALL(tabSource[Liste],COUNTIF(tabSource[Liste],"=0")+ROW(A338)-1))," ")</f>
        <v xml:space="preserve"> </v>
      </c>
    </row>
    <row r="340" spans="24:24" x14ac:dyDescent="0.25">
      <c r="X340" t="str">
        <f>IFERROR(INDEX(tabSource[Artikel],SMALL(tabSource[Liste],COUNTIF(tabSource[Liste],"=0")+ROW(A339)-1))," ")</f>
        <v xml:space="preserve"> </v>
      </c>
    </row>
    <row r="341" spans="24:24" x14ac:dyDescent="0.25">
      <c r="X341" t="str">
        <f>IFERROR(INDEX(tabSource[Artikel],SMALL(tabSource[Liste],COUNTIF(tabSource[Liste],"=0")+ROW(A340)-1))," ")</f>
        <v xml:space="preserve"> </v>
      </c>
    </row>
    <row r="342" spans="24:24" x14ac:dyDescent="0.25">
      <c r="X342" t="str">
        <f>IFERROR(INDEX(tabSource[Artikel],SMALL(tabSource[Liste],COUNTIF(tabSource[Liste],"=0")+ROW(A341)-1))," ")</f>
        <v xml:space="preserve"> </v>
      </c>
    </row>
    <row r="343" spans="24:24" x14ac:dyDescent="0.25">
      <c r="X343" t="str">
        <f>IFERROR(INDEX(tabSource[Artikel],SMALL(tabSource[Liste],COUNTIF(tabSource[Liste],"=0")+ROW(A342)-1))," ")</f>
        <v xml:space="preserve"> </v>
      </c>
    </row>
    <row r="344" spans="24:24" x14ac:dyDescent="0.25">
      <c r="X344" t="str">
        <f>IFERROR(INDEX(tabSource[Artikel],SMALL(tabSource[Liste],COUNTIF(tabSource[Liste],"=0")+ROW(A343)-1))," ")</f>
        <v xml:space="preserve"> </v>
      </c>
    </row>
    <row r="345" spans="24:24" x14ac:dyDescent="0.25">
      <c r="X345" t="str">
        <f>IFERROR(INDEX(tabSource[Artikel],SMALL(tabSource[Liste],COUNTIF(tabSource[Liste],"=0")+ROW(A344)-1))," ")</f>
        <v xml:space="preserve"> </v>
      </c>
    </row>
    <row r="346" spans="24:24" x14ac:dyDescent="0.25">
      <c r="X346" t="str">
        <f>IFERROR(INDEX(tabSource[Artikel],SMALL(tabSource[Liste],COUNTIF(tabSource[Liste],"=0")+ROW(A345)-1))," ")</f>
        <v xml:space="preserve"> </v>
      </c>
    </row>
    <row r="347" spans="24:24" x14ac:dyDescent="0.25">
      <c r="X347" t="str">
        <f>IFERROR(INDEX(tabSource[Artikel],SMALL(tabSource[Liste],COUNTIF(tabSource[Liste],"=0")+ROW(A346)-1))," ")</f>
        <v xml:space="preserve"> </v>
      </c>
    </row>
    <row r="348" spans="24:24" x14ac:dyDescent="0.25">
      <c r="X348" t="str">
        <f>IFERROR(INDEX(tabSource[Artikel],SMALL(tabSource[Liste],COUNTIF(tabSource[Liste],"=0")+ROW(A347)-1))," ")</f>
        <v xml:space="preserve"> </v>
      </c>
    </row>
    <row r="349" spans="24:24" x14ac:dyDescent="0.25">
      <c r="X349" t="str">
        <f>IFERROR(INDEX(tabSource[Artikel],SMALL(tabSource[Liste],COUNTIF(tabSource[Liste],"=0")+ROW(A348)-1))," ")</f>
        <v xml:space="preserve"> </v>
      </c>
    </row>
    <row r="350" spans="24:24" x14ac:dyDescent="0.25">
      <c r="X350" t="str">
        <f>IFERROR(INDEX(tabSource[Artikel],SMALL(tabSource[Liste],COUNTIF(tabSource[Liste],"=0")+ROW(A349)-1))," ")</f>
        <v xml:space="preserve"> </v>
      </c>
    </row>
    <row r="351" spans="24:24" x14ac:dyDescent="0.25">
      <c r="X351" t="str">
        <f>IFERROR(INDEX(tabSource[Artikel],SMALL(tabSource[Liste],COUNTIF(tabSource[Liste],"=0")+ROW(A350)-1))," ")</f>
        <v xml:space="preserve"> </v>
      </c>
    </row>
    <row r="352" spans="24:24" x14ac:dyDescent="0.25">
      <c r="X352" t="str">
        <f>IFERROR(INDEX(tabSource[Artikel],SMALL(tabSource[Liste],COUNTIF(tabSource[Liste],"=0")+ROW(A351)-1))," ")</f>
        <v xml:space="preserve"> </v>
      </c>
    </row>
    <row r="353" spans="24:24" x14ac:dyDescent="0.25">
      <c r="X353" t="str">
        <f>IFERROR(INDEX(tabSource[Artikel],SMALL(tabSource[Liste],COUNTIF(tabSource[Liste],"=0")+ROW(A352)-1))," ")</f>
        <v xml:space="preserve"> </v>
      </c>
    </row>
    <row r="354" spans="24:24" x14ac:dyDescent="0.25">
      <c r="X354" t="str">
        <f>IFERROR(INDEX(tabSource[Artikel],SMALL(tabSource[Liste],COUNTIF(tabSource[Liste],"=0")+ROW(A353)-1))," ")</f>
        <v xml:space="preserve"> </v>
      </c>
    </row>
    <row r="355" spans="24:24" x14ac:dyDescent="0.25">
      <c r="X355" t="str">
        <f>IFERROR(INDEX(tabSource[Artikel],SMALL(tabSource[Liste],COUNTIF(tabSource[Liste],"=0")+ROW(A354)-1))," ")</f>
        <v xml:space="preserve"> </v>
      </c>
    </row>
    <row r="356" spans="24:24" x14ac:dyDescent="0.25">
      <c r="X356" t="str">
        <f>IFERROR(INDEX(tabSource[Artikel],SMALL(tabSource[Liste],COUNTIF(tabSource[Liste],"=0")+ROW(A355)-1))," ")</f>
        <v xml:space="preserve"> </v>
      </c>
    </row>
    <row r="357" spans="24:24" x14ac:dyDescent="0.25">
      <c r="X357" t="str">
        <f>IFERROR(INDEX(tabSource[Artikel],SMALL(tabSource[Liste],COUNTIF(tabSource[Liste],"=0")+ROW(A356)-1))," ")</f>
        <v xml:space="preserve"> </v>
      </c>
    </row>
    <row r="358" spans="24:24" x14ac:dyDescent="0.25">
      <c r="X358" t="str">
        <f>IFERROR(INDEX(tabSource[Artikel],SMALL(tabSource[Liste],COUNTIF(tabSource[Liste],"=0")+ROW(A357)-1))," ")</f>
        <v xml:space="preserve"> </v>
      </c>
    </row>
    <row r="359" spans="24:24" x14ac:dyDescent="0.25">
      <c r="X359" t="str">
        <f>IFERROR(INDEX(tabSource[Artikel],SMALL(tabSource[Liste],COUNTIF(tabSource[Liste],"=0")+ROW(A358)-1))," ")</f>
        <v xml:space="preserve"> </v>
      </c>
    </row>
    <row r="360" spans="24:24" x14ac:dyDescent="0.25">
      <c r="X360" t="str">
        <f>IFERROR(INDEX(tabSource[Artikel],SMALL(tabSource[Liste],COUNTIF(tabSource[Liste],"=0")+ROW(A359)-1))," ")</f>
        <v xml:space="preserve"> </v>
      </c>
    </row>
    <row r="361" spans="24:24" x14ac:dyDescent="0.25">
      <c r="X361" t="str">
        <f>IFERROR(INDEX(tabSource[Artikel],SMALL(tabSource[Liste],COUNTIF(tabSource[Liste],"=0")+ROW(A360)-1))," ")</f>
        <v xml:space="preserve"> </v>
      </c>
    </row>
    <row r="362" spans="24:24" x14ac:dyDescent="0.25">
      <c r="X362" t="str">
        <f>IFERROR(INDEX(tabSource[Artikel],SMALL(tabSource[Liste],COUNTIF(tabSource[Liste],"=0")+ROW(A361)-1))," ")</f>
        <v xml:space="preserve"> </v>
      </c>
    </row>
    <row r="363" spans="24:24" x14ac:dyDescent="0.25">
      <c r="X363" t="str">
        <f>IFERROR(INDEX(tabSource[Artikel],SMALL(tabSource[Liste],COUNTIF(tabSource[Liste],"=0")+ROW(A362)-1))," ")</f>
        <v xml:space="preserve"> </v>
      </c>
    </row>
    <row r="364" spans="24:24" x14ac:dyDescent="0.25">
      <c r="X364" t="str">
        <f>IFERROR(INDEX(tabSource[Artikel],SMALL(tabSource[Liste],COUNTIF(tabSource[Liste],"=0")+ROW(A363)-1))," ")</f>
        <v xml:space="preserve"> </v>
      </c>
    </row>
    <row r="365" spans="24:24" x14ac:dyDescent="0.25">
      <c r="X365" t="str">
        <f>IFERROR(INDEX(tabSource[Artikel],SMALL(tabSource[Liste],COUNTIF(tabSource[Liste],"=0")+ROW(A364)-1))," ")</f>
        <v xml:space="preserve"> </v>
      </c>
    </row>
    <row r="366" spans="24:24" x14ac:dyDescent="0.25">
      <c r="X366" t="str">
        <f>IFERROR(INDEX(tabSource[Artikel],SMALL(tabSource[Liste],COUNTIF(tabSource[Liste],"=0")+ROW(A365)-1))," ")</f>
        <v xml:space="preserve"> </v>
      </c>
    </row>
    <row r="367" spans="24:24" x14ac:dyDescent="0.25">
      <c r="X367" t="str">
        <f>IFERROR(INDEX(tabSource[Artikel],SMALL(tabSource[Liste],COUNTIF(tabSource[Liste],"=0")+ROW(A366)-1))," ")</f>
        <v xml:space="preserve"> </v>
      </c>
    </row>
    <row r="368" spans="24:24" x14ac:dyDescent="0.25">
      <c r="X368" t="str">
        <f>IFERROR(INDEX(tabSource[Artikel],SMALL(tabSource[Liste],COUNTIF(tabSource[Liste],"=0")+ROW(A367)-1))," ")</f>
        <v xml:space="preserve"> </v>
      </c>
    </row>
    <row r="369" spans="24:24" x14ac:dyDescent="0.25">
      <c r="X369" t="str">
        <f>IFERROR(INDEX(tabSource[Artikel],SMALL(tabSource[Liste],COUNTIF(tabSource[Liste],"=0")+ROW(A368)-1))," ")</f>
        <v xml:space="preserve"> </v>
      </c>
    </row>
    <row r="370" spans="24:24" x14ac:dyDescent="0.25">
      <c r="X370" t="str">
        <f>IFERROR(INDEX(tabSource[Artikel],SMALL(tabSource[Liste],COUNTIF(tabSource[Liste],"=0")+ROW(A369)-1))," ")</f>
        <v xml:space="preserve"> </v>
      </c>
    </row>
    <row r="371" spans="24:24" x14ac:dyDescent="0.25">
      <c r="X371" t="str">
        <f>IFERROR(INDEX(tabSource[Artikel],SMALL(tabSource[Liste],COUNTIF(tabSource[Liste],"=0")+ROW(A370)-1))," ")</f>
        <v xml:space="preserve"> </v>
      </c>
    </row>
    <row r="372" spans="24:24" x14ac:dyDescent="0.25">
      <c r="X372" t="str">
        <f>IFERROR(INDEX(tabSource[Artikel],SMALL(tabSource[Liste],COUNTIF(tabSource[Liste],"=0")+ROW(A371)-1))," ")</f>
        <v xml:space="preserve"> </v>
      </c>
    </row>
    <row r="373" spans="24:24" x14ac:dyDescent="0.25">
      <c r="X373" t="str">
        <f>IFERROR(INDEX(tabSource[Artikel],SMALL(tabSource[Liste],COUNTIF(tabSource[Liste],"=0")+ROW(A372)-1))," ")</f>
        <v xml:space="preserve"> </v>
      </c>
    </row>
    <row r="374" spans="24:24" x14ac:dyDescent="0.25">
      <c r="X374" t="str">
        <f>IFERROR(INDEX(tabSource[Artikel],SMALL(tabSource[Liste],COUNTIF(tabSource[Liste],"=0")+ROW(A373)-1))," ")</f>
        <v xml:space="preserve"> </v>
      </c>
    </row>
    <row r="375" spans="24:24" x14ac:dyDescent="0.25">
      <c r="X375" t="str">
        <f>IFERROR(INDEX(tabSource[Artikel],SMALL(tabSource[Liste],COUNTIF(tabSource[Liste],"=0")+ROW(A374)-1))," ")</f>
        <v xml:space="preserve"> </v>
      </c>
    </row>
    <row r="376" spans="24:24" x14ac:dyDescent="0.25">
      <c r="X376" t="str">
        <f>IFERROR(INDEX(tabSource[Artikel],SMALL(tabSource[Liste],COUNTIF(tabSource[Liste],"=0")+ROW(A375)-1))," ")</f>
        <v xml:space="preserve"> </v>
      </c>
    </row>
    <row r="377" spans="24:24" x14ac:dyDescent="0.25">
      <c r="X377" t="str">
        <f>IFERROR(INDEX(tabSource[Artikel],SMALL(tabSource[Liste],COUNTIF(tabSource[Liste],"=0")+ROW(A376)-1))," ")</f>
        <v xml:space="preserve"> </v>
      </c>
    </row>
    <row r="378" spans="24:24" x14ac:dyDescent="0.25">
      <c r="X378" t="str">
        <f>IFERROR(INDEX(tabSource[Artikel],SMALL(tabSource[Liste],COUNTIF(tabSource[Liste],"=0")+ROW(A377)-1))," ")</f>
        <v xml:space="preserve"> </v>
      </c>
    </row>
    <row r="379" spans="24:24" x14ac:dyDescent="0.25">
      <c r="X379" t="str">
        <f>IFERROR(INDEX(tabSource[Artikel],SMALL(tabSource[Liste],COUNTIF(tabSource[Liste],"=0")+ROW(A378)-1))," ")</f>
        <v xml:space="preserve"> </v>
      </c>
    </row>
    <row r="380" spans="24:24" x14ac:dyDescent="0.25">
      <c r="X380" t="str">
        <f>IFERROR(INDEX(tabSource[Artikel],SMALL(tabSource[Liste],COUNTIF(tabSource[Liste],"=0")+ROW(A379)-1))," ")</f>
        <v xml:space="preserve"> </v>
      </c>
    </row>
    <row r="381" spans="24:24" x14ac:dyDescent="0.25">
      <c r="X381" t="str">
        <f>IFERROR(INDEX(tabSource[Artikel],SMALL(tabSource[Liste],COUNTIF(tabSource[Liste],"=0")+ROW(A380)-1))," ")</f>
        <v xml:space="preserve"> </v>
      </c>
    </row>
    <row r="382" spans="24:24" x14ac:dyDescent="0.25">
      <c r="X382" t="str">
        <f>IFERROR(INDEX(tabSource[Artikel],SMALL(tabSource[Liste],COUNTIF(tabSource[Liste],"=0")+ROW(A381)-1))," ")</f>
        <v xml:space="preserve"> </v>
      </c>
    </row>
    <row r="383" spans="24:24" x14ac:dyDescent="0.25">
      <c r="X383" t="str">
        <f>IFERROR(INDEX(tabSource[Artikel],SMALL(tabSource[Liste],COUNTIF(tabSource[Liste],"=0")+ROW(A382)-1))," ")</f>
        <v xml:space="preserve"> </v>
      </c>
    </row>
    <row r="384" spans="24:24" x14ac:dyDescent="0.25">
      <c r="X384" t="str">
        <f>IFERROR(INDEX(tabSource[Artikel],SMALL(tabSource[Liste],COUNTIF(tabSource[Liste],"=0")+ROW(A383)-1))," ")</f>
        <v xml:space="preserve"> </v>
      </c>
    </row>
    <row r="385" spans="24:24" x14ac:dyDescent="0.25">
      <c r="X385" t="str">
        <f>IFERROR(INDEX(tabSource[Artikel],SMALL(tabSource[Liste],COUNTIF(tabSource[Liste],"=0")+ROW(A384)-1))," ")</f>
        <v xml:space="preserve"> </v>
      </c>
    </row>
    <row r="386" spans="24:24" x14ac:dyDescent="0.25">
      <c r="X386" t="str">
        <f>IFERROR(INDEX(tabSource[Artikel],SMALL(tabSource[Liste],COUNTIF(tabSource[Liste],"=0")+ROW(A385)-1))," ")</f>
        <v xml:space="preserve"> </v>
      </c>
    </row>
    <row r="387" spans="24:24" x14ac:dyDescent="0.25">
      <c r="X387" t="str">
        <f>IFERROR(INDEX(tabSource[Artikel],SMALL(tabSource[Liste],COUNTIF(tabSource[Liste],"=0")+ROW(A386)-1))," ")</f>
        <v xml:space="preserve"> </v>
      </c>
    </row>
    <row r="388" spans="24:24" x14ac:dyDescent="0.25">
      <c r="X388" t="str">
        <f>IFERROR(INDEX(tabSource[Artikel],SMALL(tabSource[Liste],COUNTIF(tabSource[Liste],"=0")+ROW(A387)-1))," ")</f>
        <v xml:space="preserve"> </v>
      </c>
    </row>
    <row r="389" spans="24:24" x14ac:dyDescent="0.25">
      <c r="X389" t="str">
        <f>IFERROR(INDEX(tabSource[Artikel],SMALL(tabSource[Liste],COUNTIF(tabSource[Liste],"=0")+ROW(A388)-1))," ")</f>
        <v xml:space="preserve"> </v>
      </c>
    </row>
    <row r="390" spans="24:24" x14ac:dyDescent="0.25">
      <c r="X390" t="str">
        <f>IFERROR(INDEX(tabSource[Artikel],SMALL(tabSource[Liste],COUNTIF(tabSource[Liste],"=0")+ROW(A389)-1))," ")</f>
        <v xml:space="preserve"> </v>
      </c>
    </row>
    <row r="391" spans="24:24" x14ac:dyDescent="0.25">
      <c r="X391" t="str">
        <f>IFERROR(INDEX(tabSource[Artikel],SMALL(tabSource[Liste],COUNTIF(tabSource[Liste],"=0")+ROW(A390)-1))," ")</f>
        <v xml:space="preserve"> </v>
      </c>
    </row>
    <row r="392" spans="24:24" x14ac:dyDescent="0.25">
      <c r="X392" t="str">
        <f>IFERROR(INDEX(tabSource[Artikel],SMALL(tabSource[Liste],COUNTIF(tabSource[Liste],"=0")+ROW(A391)-1))," ")</f>
        <v xml:space="preserve"> </v>
      </c>
    </row>
    <row r="393" spans="24:24" x14ac:dyDescent="0.25">
      <c r="X393" t="str">
        <f>IFERROR(INDEX(tabSource[Artikel],SMALL(tabSource[Liste],COUNTIF(tabSource[Liste],"=0")+ROW(A392)-1))," ")</f>
        <v xml:space="preserve"> </v>
      </c>
    </row>
    <row r="394" spans="24:24" x14ac:dyDescent="0.25">
      <c r="X394" t="str">
        <f>IFERROR(INDEX(tabSource[Artikel],SMALL(tabSource[Liste],COUNTIF(tabSource[Liste],"=0")+ROW(A393)-1))," ")</f>
        <v xml:space="preserve"> </v>
      </c>
    </row>
    <row r="395" spans="24:24" x14ac:dyDescent="0.25">
      <c r="X395" t="str">
        <f>IFERROR(INDEX(tabSource[Artikel],SMALL(tabSource[Liste],COUNTIF(tabSource[Liste],"=0")+ROW(A394)-1))," ")</f>
        <v xml:space="preserve"> </v>
      </c>
    </row>
    <row r="396" spans="24:24" x14ac:dyDescent="0.25">
      <c r="X396" t="str">
        <f>IFERROR(INDEX(tabSource[Artikel],SMALL(tabSource[Liste],COUNTIF(tabSource[Liste],"=0")+ROW(A395)-1))," ")</f>
        <v xml:space="preserve"> </v>
      </c>
    </row>
    <row r="397" spans="24:24" x14ac:dyDescent="0.25">
      <c r="X397" t="str">
        <f>IFERROR(INDEX(tabSource[Artikel],SMALL(tabSource[Liste],COUNTIF(tabSource[Liste],"=0")+ROW(A396)-1))," ")</f>
        <v xml:space="preserve"> </v>
      </c>
    </row>
    <row r="398" spans="24:24" x14ac:dyDescent="0.25">
      <c r="X398" t="str">
        <f>IFERROR(INDEX(tabSource[Artikel],SMALL(tabSource[Liste],COUNTIF(tabSource[Liste],"=0")+ROW(A397)-1))," ")</f>
        <v xml:space="preserve"> </v>
      </c>
    </row>
    <row r="399" spans="24:24" x14ac:dyDescent="0.25">
      <c r="X399" t="str">
        <f>IFERROR(INDEX(tabSource[Artikel],SMALL(tabSource[Liste],COUNTIF(tabSource[Liste],"=0")+ROW(A398)-1))," ")</f>
        <v xml:space="preserve"> </v>
      </c>
    </row>
    <row r="400" spans="24:24" x14ac:dyDescent="0.25">
      <c r="X400" t="str">
        <f>IFERROR(INDEX(tabSource[Artikel],SMALL(tabSource[Liste],COUNTIF(tabSource[Liste],"=0")+ROW(A399)-1))," ")</f>
        <v xml:space="preserve"> </v>
      </c>
    </row>
    <row r="401" spans="24:24" x14ac:dyDescent="0.25">
      <c r="X401" t="str">
        <f>IFERROR(INDEX(tabSource[Artikel],SMALL(tabSource[Liste],COUNTIF(tabSource[Liste],"=0")+ROW(A400)-1))," ")</f>
        <v xml:space="preserve"> </v>
      </c>
    </row>
    <row r="402" spans="24:24" x14ac:dyDescent="0.25">
      <c r="X402" t="str">
        <f>IFERROR(INDEX(tabSource[Artikel],SMALL(tabSource[Liste],COUNTIF(tabSource[Liste],"=0")+ROW(A401)-1))," ")</f>
        <v xml:space="preserve"> </v>
      </c>
    </row>
    <row r="403" spans="24:24" x14ac:dyDescent="0.25">
      <c r="X403" t="str">
        <f>IFERROR(INDEX(tabSource[Artikel],SMALL(tabSource[Liste],COUNTIF(tabSource[Liste],"=0")+ROW(A402)-1))," ")</f>
        <v xml:space="preserve"> </v>
      </c>
    </row>
    <row r="404" spans="24:24" x14ac:dyDescent="0.25">
      <c r="X404" t="str">
        <f>IFERROR(INDEX(tabSource[Artikel],SMALL(tabSource[Liste],COUNTIF(tabSource[Liste],"=0")+ROW(A403)-1))," ")</f>
        <v xml:space="preserve"> </v>
      </c>
    </row>
    <row r="405" spans="24:24" x14ac:dyDescent="0.25">
      <c r="X405" t="str">
        <f>IFERROR(INDEX(tabSource[Artikel],SMALL(tabSource[Liste],COUNTIF(tabSource[Liste],"=0")+ROW(A404)-1))," ")</f>
        <v xml:space="preserve"> </v>
      </c>
    </row>
    <row r="406" spans="24:24" x14ac:dyDescent="0.25">
      <c r="X406" t="str">
        <f>IFERROR(INDEX(tabSource[Artikel],SMALL(tabSource[Liste],COUNTIF(tabSource[Liste],"=0")+ROW(A405)-1))," ")</f>
        <v xml:space="preserve"> </v>
      </c>
    </row>
    <row r="407" spans="24:24" x14ac:dyDescent="0.25">
      <c r="X407" t="str">
        <f>IFERROR(INDEX(tabSource[Artikel],SMALL(tabSource[Liste],COUNTIF(tabSource[Liste],"=0")+ROW(A406)-1))," ")</f>
        <v xml:space="preserve"> </v>
      </c>
    </row>
    <row r="408" spans="24:24" x14ac:dyDescent="0.25">
      <c r="X408" t="str">
        <f>IFERROR(INDEX(tabSource[Artikel],SMALL(tabSource[Liste],COUNTIF(tabSource[Liste],"=0")+ROW(A407)-1))," ")</f>
        <v xml:space="preserve"> </v>
      </c>
    </row>
    <row r="409" spans="24:24" x14ac:dyDescent="0.25">
      <c r="X409" t="str">
        <f>IFERROR(INDEX(tabSource[Artikel],SMALL(tabSource[Liste],COUNTIF(tabSource[Liste],"=0")+ROW(A408)-1))," ")</f>
        <v xml:space="preserve"> </v>
      </c>
    </row>
    <row r="410" spans="24:24" x14ac:dyDescent="0.25">
      <c r="X410" t="str">
        <f>IFERROR(INDEX(tabSource[Artikel],SMALL(tabSource[Liste],COUNTIF(tabSource[Liste],"=0")+ROW(A409)-1))," ")</f>
        <v xml:space="preserve"> </v>
      </c>
    </row>
    <row r="411" spans="24:24" x14ac:dyDescent="0.25">
      <c r="X411" t="str">
        <f>IFERROR(INDEX(tabSource[Artikel],SMALL(tabSource[Liste],COUNTIF(tabSource[Liste],"=0")+ROW(A410)-1))," ")</f>
        <v xml:space="preserve"> </v>
      </c>
    </row>
    <row r="412" spans="24:24" x14ac:dyDescent="0.25">
      <c r="X412" t="str">
        <f>IFERROR(INDEX(tabSource[Artikel],SMALL(tabSource[Liste],COUNTIF(tabSource[Liste],"=0")+ROW(A411)-1))," ")</f>
        <v xml:space="preserve"> </v>
      </c>
    </row>
    <row r="413" spans="24:24" x14ac:dyDescent="0.25">
      <c r="X413" t="str">
        <f>IFERROR(INDEX(tabSource[Artikel],SMALL(tabSource[Liste],COUNTIF(tabSource[Liste],"=0")+ROW(A412)-1))," ")</f>
        <v xml:space="preserve"> </v>
      </c>
    </row>
    <row r="414" spans="24:24" x14ac:dyDescent="0.25">
      <c r="X414" t="str">
        <f>IFERROR(INDEX(tabSource[Artikel],SMALL(tabSource[Liste],COUNTIF(tabSource[Liste],"=0")+ROW(A413)-1))," ")</f>
        <v xml:space="preserve"> </v>
      </c>
    </row>
    <row r="415" spans="24:24" x14ac:dyDescent="0.25">
      <c r="X415" t="str">
        <f>IFERROR(INDEX(tabSource[Artikel],SMALL(tabSource[Liste],COUNTIF(tabSource[Liste],"=0")+ROW(A414)-1))," ")</f>
        <v xml:space="preserve"> </v>
      </c>
    </row>
    <row r="416" spans="24:24" x14ac:dyDescent="0.25">
      <c r="X416" t="str">
        <f>IFERROR(INDEX(tabSource[Artikel],SMALL(tabSource[Liste],COUNTIF(tabSource[Liste],"=0")+ROW(A415)-1))," ")</f>
        <v xml:space="preserve"> </v>
      </c>
    </row>
    <row r="417" spans="24:24" x14ac:dyDescent="0.25">
      <c r="X417" t="str">
        <f>IFERROR(INDEX(tabSource[Artikel],SMALL(tabSource[Liste],COUNTIF(tabSource[Liste],"=0")+ROW(A416)-1))," ")</f>
        <v xml:space="preserve"> </v>
      </c>
    </row>
    <row r="418" spans="24:24" x14ac:dyDescent="0.25">
      <c r="X418" t="str">
        <f>IFERROR(INDEX(tabSource[Artikel],SMALL(tabSource[Liste],COUNTIF(tabSource[Liste],"=0")+ROW(A417)-1))," ")</f>
        <v xml:space="preserve"> </v>
      </c>
    </row>
    <row r="419" spans="24:24" x14ac:dyDescent="0.25">
      <c r="X419" t="str">
        <f>IFERROR(INDEX(tabSource[Artikel],SMALL(tabSource[Liste],COUNTIF(tabSource[Liste],"=0")+ROW(A418)-1))," ")</f>
        <v xml:space="preserve"> </v>
      </c>
    </row>
    <row r="420" spans="24:24" x14ac:dyDescent="0.25">
      <c r="X420" t="str">
        <f>IFERROR(INDEX(tabSource[Artikel],SMALL(tabSource[Liste],COUNTIF(tabSource[Liste],"=0")+ROW(A419)-1))," ")</f>
        <v xml:space="preserve"> </v>
      </c>
    </row>
    <row r="421" spans="24:24" x14ac:dyDescent="0.25">
      <c r="X421" t="str">
        <f>IFERROR(INDEX(tabSource[Artikel],SMALL(tabSource[Liste],COUNTIF(tabSource[Liste],"=0")+ROW(A420)-1))," ")</f>
        <v xml:space="preserve"> </v>
      </c>
    </row>
    <row r="422" spans="24:24" x14ac:dyDescent="0.25">
      <c r="X422" t="str">
        <f>IFERROR(INDEX(tabSource[Artikel],SMALL(tabSource[Liste],COUNTIF(tabSource[Liste],"=0")+ROW(A421)-1))," ")</f>
        <v xml:space="preserve"> </v>
      </c>
    </row>
    <row r="423" spans="24:24" x14ac:dyDescent="0.25">
      <c r="X423" t="str">
        <f>IFERROR(INDEX(tabSource[Artikel],SMALL(tabSource[Liste],COUNTIF(tabSource[Liste],"=0")+ROW(A422)-1))," ")</f>
        <v xml:space="preserve"> </v>
      </c>
    </row>
    <row r="424" spans="24:24" x14ac:dyDescent="0.25">
      <c r="X424" t="str">
        <f>IFERROR(INDEX(tabSource[Artikel],SMALL(tabSource[Liste],COUNTIF(tabSource[Liste],"=0")+ROW(A423)-1))," ")</f>
        <v xml:space="preserve"> </v>
      </c>
    </row>
    <row r="425" spans="24:24" x14ac:dyDescent="0.25">
      <c r="X425" t="str">
        <f>IFERROR(INDEX(tabSource[Artikel],SMALL(tabSource[Liste],COUNTIF(tabSource[Liste],"=0")+ROW(A424)-1))," ")</f>
        <v xml:space="preserve"> </v>
      </c>
    </row>
    <row r="426" spans="24:24" x14ac:dyDescent="0.25">
      <c r="X426" t="str">
        <f>IFERROR(INDEX(tabSource[Artikel],SMALL(tabSource[Liste],COUNTIF(tabSource[Liste],"=0")+ROW(A425)-1))," ")</f>
        <v xml:space="preserve"> </v>
      </c>
    </row>
    <row r="427" spans="24:24" x14ac:dyDescent="0.25">
      <c r="X427" t="str">
        <f>IFERROR(INDEX(tabSource[Artikel],SMALL(tabSource[Liste],COUNTIF(tabSource[Liste],"=0")+ROW(A426)-1))," ")</f>
        <v xml:space="preserve"> </v>
      </c>
    </row>
    <row r="428" spans="24:24" x14ac:dyDescent="0.25">
      <c r="X428" t="str">
        <f>IFERROR(INDEX(tabSource[Artikel],SMALL(tabSource[Liste],COUNTIF(tabSource[Liste],"=0")+ROW(A427)-1))," ")</f>
        <v xml:space="preserve"> </v>
      </c>
    </row>
    <row r="429" spans="24:24" x14ac:dyDescent="0.25">
      <c r="X429" t="str">
        <f>IFERROR(INDEX(tabSource[Artikel],SMALL(tabSource[Liste],COUNTIF(tabSource[Liste],"=0")+ROW(A428)-1))," ")</f>
        <v xml:space="preserve"> </v>
      </c>
    </row>
    <row r="430" spans="24:24" x14ac:dyDescent="0.25">
      <c r="X430" t="str">
        <f>IFERROR(INDEX(tabSource[Artikel],SMALL(tabSource[Liste],COUNTIF(tabSource[Liste],"=0")+ROW(A429)-1))," ")</f>
        <v xml:space="preserve"> </v>
      </c>
    </row>
    <row r="431" spans="24:24" x14ac:dyDescent="0.25">
      <c r="X431" t="str">
        <f>IFERROR(INDEX(tabSource[Artikel],SMALL(tabSource[Liste],COUNTIF(tabSource[Liste],"=0")+ROW(A430)-1))," ")</f>
        <v xml:space="preserve"> </v>
      </c>
    </row>
    <row r="432" spans="24:24" x14ac:dyDescent="0.25">
      <c r="X432" t="str">
        <f>IFERROR(INDEX(tabSource[Artikel],SMALL(tabSource[Liste],COUNTIF(tabSource[Liste],"=0")+ROW(A431)-1))," ")</f>
        <v xml:space="preserve"> </v>
      </c>
    </row>
    <row r="433" spans="24:24" x14ac:dyDescent="0.25">
      <c r="X433" t="str">
        <f>IFERROR(INDEX(tabSource[Artikel],SMALL(tabSource[Liste],COUNTIF(tabSource[Liste],"=0")+ROW(A432)-1))," ")</f>
        <v xml:space="preserve"> </v>
      </c>
    </row>
    <row r="434" spans="24:24" x14ac:dyDescent="0.25">
      <c r="X434" t="str">
        <f>IFERROR(INDEX(tabSource[Artikel],SMALL(tabSource[Liste],COUNTIF(tabSource[Liste],"=0")+ROW(A433)-1))," ")</f>
        <v xml:space="preserve"> </v>
      </c>
    </row>
    <row r="435" spans="24:24" x14ac:dyDescent="0.25">
      <c r="X435" t="str">
        <f>IFERROR(INDEX(tabSource[Artikel],SMALL(tabSource[Liste],COUNTIF(tabSource[Liste],"=0")+ROW(A434)-1))," ")</f>
        <v xml:space="preserve"> </v>
      </c>
    </row>
    <row r="436" spans="24:24" x14ac:dyDescent="0.25">
      <c r="X436" t="str">
        <f>IFERROR(INDEX(tabSource[Artikel],SMALL(tabSource[Liste],COUNTIF(tabSource[Liste],"=0")+ROW(A435)-1))," ")</f>
        <v xml:space="preserve"> </v>
      </c>
    </row>
    <row r="437" spans="24:24" x14ac:dyDescent="0.25">
      <c r="X437" t="str">
        <f>IFERROR(INDEX(tabSource[Artikel],SMALL(tabSource[Liste],COUNTIF(tabSource[Liste],"=0")+ROW(A436)-1))," ")</f>
        <v xml:space="preserve"> </v>
      </c>
    </row>
    <row r="438" spans="24:24" x14ac:dyDescent="0.25">
      <c r="X438" t="str">
        <f>IFERROR(INDEX(tabSource[Artikel],SMALL(tabSource[Liste],COUNTIF(tabSource[Liste],"=0")+ROW(A437)-1))," ")</f>
        <v xml:space="preserve"> </v>
      </c>
    </row>
    <row r="439" spans="24:24" x14ac:dyDescent="0.25">
      <c r="X439" t="str">
        <f>IFERROR(INDEX(tabSource[Artikel],SMALL(tabSource[Liste],COUNTIF(tabSource[Liste],"=0")+ROW(A438)-1))," ")</f>
        <v xml:space="preserve"> </v>
      </c>
    </row>
    <row r="440" spans="24:24" x14ac:dyDescent="0.25">
      <c r="X440" t="str">
        <f>IFERROR(INDEX(tabSource[Artikel],SMALL(tabSource[Liste],COUNTIF(tabSource[Liste],"=0")+ROW(A439)-1))," ")</f>
        <v xml:space="preserve"> </v>
      </c>
    </row>
    <row r="441" spans="24:24" x14ac:dyDescent="0.25">
      <c r="X441" t="str">
        <f>IFERROR(INDEX(tabSource[Artikel],SMALL(tabSource[Liste],COUNTIF(tabSource[Liste],"=0")+ROW(A440)-1))," ")</f>
        <v xml:space="preserve"> </v>
      </c>
    </row>
    <row r="442" spans="24:24" x14ac:dyDescent="0.25">
      <c r="X442" t="str">
        <f>IFERROR(INDEX(tabSource[Artikel],SMALL(tabSource[Liste],COUNTIF(tabSource[Liste],"=0")+ROW(A441)-1))," ")</f>
        <v xml:space="preserve"> </v>
      </c>
    </row>
    <row r="443" spans="24:24" x14ac:dyDescent="0.25">
      <c r="X443" t="str">
        <f>IFERROR(INDEX(tabSource[Artikel],SMALL(tabSource[Liste],COUNTIF(tabSource[Liste],"=0")+ROW(A442)-1))," ")</f>
        <v xml:space="preserve"> </v>
      </c>
    </row>
    <row r="444" spans="24:24" x14ac:dyDescent="0.25">
      <c r="X444" t="str">
        <f>IFERROR(INDEX(tabSource[Artikel],SMALL(tabSource[Liste],COUNTIF(tabSource[Liste],"=0")+ROW(A443)-1))," ")</f>
        <v xml:space="preserve"> </v>
      </c>
    </row>
    <row r="445" spans="24:24" x14ac:dyDescent="0.25">
      <c r="X445" t="str">
        <f>IFERROR(INDEX(tabSource[Artikel],SMALL(tabSource[Liste],COUNTIF(tabSource[Liste],"=0")+ROW(A444)-1))," ")</f>
        <v xml:space="preserve"> </v>
      </c>
    </row>
    <row r="446" spans="24:24" x14ac:dyDescent="0.25">
      <c r="X446" t="str">
        <f>IFERROR(INDEX(tabSource[Artikel],SMALL(tabSource[Liste],COUNTIF(tabSource[Liste],"=0")+ROW(A445)-1))," ")</f>
        <v xml:space="preserve"> </v>
      </c>
    </row>
    <row r="447" spans="24:24" x14ac:dyDescent="0.25">
      <c r="X447" t="str">
        <f>IFERROR(INDEX(tabSource[Artikel],SMALL(tabSource[Liste],COUNTIF(tabSource[Liste],"=0")+ROW(A446)-1))," ")</f>
        <v xml:space="preserve"> </v>
      </c>
    </row>
    <row r="448" spans="24:24" x14ac:dyDescent="0.25">
      <c r="X448" t="str">
        <f>IFERROR(INDEX(tabSource[Artikel],SMALL(tabSource[Liste],COUNTIF(tabSource[Liste],"=0")+ROW(A447)-1))," ")</f>
        <v xml:space="preserve"> </v>
      </c>
    </row>
    <row r="449" spans="24:24" x14ac:dyDescent="0.25">
      <c r="X449" t="str">
        <f>IFERROR(INDEX(tabSource[Artikel],SMALL(tabSource[Liste],COUNTIF(tabSource[Liste],"=0")+ROW(A448)-1))," ")</f>
        <v xml:space="preserve"> </v>
      </c>
    </row>
    <row r="450" spans="24:24" x14ac:dyDescent="0.25">
      <c r="X450" t="str">
        <f>IFERROR(INDEX(tabSource[Artikel],SMALL(tabSource[Liste],COUNTIF(tabSource[Liste],"=0")+ROW(A449)-1))," ")</f>
        <v xml:space="preserve"> </v>
      </c>
    </row>
    <row r="451" spans="24:24" x14ac:dyDescent="0.25">
      <c r="X451" t="str">
        <f>IFERROR(INDEX(tabSource[Artikel],SMALL(tabSource[Liste],COUNTIF(tabSource[Liste],"=0")+ROW(A450)-1))," ")</f>
        <v xml:space="preserve"> </v>
      </c>
    </row>
    <row r="452" spans="24:24" x14ac:dyDescent="0.25">
      <c r="X452" t="str">
        <f>IFERROR(INDEX(tabSource[Artikel],SMALL(tabSource[Liste],COUNTIF(tabSource[Liste],"=0")+ROW(A451)-1))," ")</f>
        <v xml:space="preserve"> </v>
      </c>
    </row>
    <row r="453" spans="24:24" x14ac:dyDescent="0.25">
      <c r="X453" t="str">
        <f>IFERROR(INDEX(tabSource[Artikel],SMALL(tabSource[Liste],COUNTIF(tabSource[Liste],"=0")+ROW(A452)-1))," ")</f>
        <v xml:space="preserve"> </v>
      </c>
    </row>
    <row r="454" spans="24:24" x14ac:dyDescent="0.25">
      <c r="X454" t="str">
        <f>IFERROR(INDEX(tabSource[Artikel],SMALL(tabSource[Liste],COUNTIF(tabSource[Liste],"=0")+ROW(A453)-1))," ")</f>
        <v xml:space="preserve"> </v>
      </c>
    </row>
    <row r="455" spans="24:24" x14ac:dyDescent="0.25">
      <c r="X455" t="str">
        <f>IFERROR(INDEX(tabSource[Artikel],SMALL(tabSource[Liste],COUNTIF(tabSource[Liste],"=0")+ROW(A454)-1))," ")</f>
        <v xml:space="preserve"> </v>
      </c>
    </row>
    <row r="456" spans="24:24" x14ac:dyDescent="0.25">
      <c r="X456" t="str">
        <f>IFERROR(INDEX(tabSource[Artikel],SMALL(tabSource[Liste],COUNTIF(tabSource[Liste],"=0")+ROW(A455)-1))," ")</f>
        <v xml:space="preserve"> </v>
      </c>
    </row>
    <row r="457" spans="24:24" x14ac:dyDescent="0.25">
      <c r="X457" t="str">
        <f>IFERROR(INDEX(tabSource[Artikel],SMALL(tabSource[Liste],COUNTIF(tabSource[Liste],"=0")+ROW(A456)-1))," ")</f>
        <v xml:space="preserve"> </v>
      </c>
    </row>
    <row r="458" spans="24:24" x14ac:dyDescent="0.25">
      <c r="X458" t="str">
        <f>IFERROR(INDEX(tabSource[Artikel],SMALL(tabSource[Liste],COUNTIF(tabSource[Liste],"=0")+ROW(A457)-1))," ")</f>
        <v xml:space="preserve"> </v>
      </c>
    </row>
    <row r="459" spans="24:24" x14ac:dyDescent="0.25">
      <c r="X459" t="str">
        <f>IFERROR(INDEX(tabSource[Artikel],SMALL(tabSource[Liste],COUNTIF(tabSource[Liste],"=0")+ROW(A458)-1))," ")</f>
        <v xml:space="preserve"> </v>
      </c>
    </row>
    <row r="460" spans="24:24" x14ac:dyDescent="0.25">
      <c r="X460" t="str">
        <f>IFERROR(INDEX(tabSource[Artikel],SMALL(tabSource[Liste],COUNTIF(tabSource[Liste],"=0")+ROW(A459)-1))," ")</f>
        <v xml:space="preserve"> </v>
      </c>
    </row>
    <row r="461" spans="24:24" x14ac:dyDescent="0.25">
      <c r="X461" t="str">
        <f>IFERROR(INDEX(tabSource[Artikel],SMALL(tabSource[Liste],COUNTIF(tabSource[Liste],"=0")+ROW(A460)-1))," ")</f>
        <v xml:space="preserve"> </v>
      </c>
    </row>
    <row r="462" spans="24:24" x14ac:dyDescent="0.25">
      <c r="X462" t="str">
        <f>IFERROR(INDEX(tabSource[Artikel],SMALL(tabSource[Liste],COUNTIF(tabSource[Liste],"=0")+ROW(A461)-1))," ")</f>
        <v xml:space="preserve"> </v>
      </c>
    </row>
    <row r="463" spans="24:24" x14ac:dyDescent="0.25">
      <c r="X463" t="str">
        <f>IFERROR(INDEX(tabSource[Artikel],SMALL(tabSource[Liste],COUNTIF(tabSource[Liste],"=0")+ROW(A462)-1))," ")</f>
        <v xml:space="preserve"> </v>
      </c>
    </row>
    <row r="464" spans="24:24" x14ac:dyDescent="0.25">
      <c r="X464" t="str">
        <f>IFERROR(INDEX(tabSource[Artikel],SMALL(tabSource[Liste],COUNTIF(tabSource[Liste],"=0")+ROW(A463)-1))," ")</f>
        <v xml:space="preserve"> </v>
      </c>
    </row>
    <row r="465" spans="24:24" x14ac:dyDescent="0.25">
      <c r="X465" t="str">
        <f>IFERROR(INDEX(tabSource[Artikel],SMALL(tabSource[Liste],COUNTIF(tabSource[Liste],"=0")+ROW(A464)-1))," ")</f>
        <v xml:space="preserve"> </v>
      </c>
    </row>
    <row r="466" spans="24:24" x14ac:dyDescent="0.25">
      <c r="X466" t="str">
        <f>IFERROR(INDEX(tabSource[Artikel],SMALL(tabSource[Liste],COUNTIF(tabSource[Liste],"=0")+ROW(A465)-1))," ")</f>
        <v xml:space="preserve"> </v>
      </c>
    </row>
    <row r="467" spans="24:24" x14ac:dyDescent="0.25">
      <c r="X467" t="str">
        <f>IFERROR(INDEX(tabSource[Artikel],SMALL(tabSource[Liste],COUNTIF(tabSource[Liste],"=0")+ROW(A466)-1))," ")</f>
        <v xml:space="preserve"> </v>
      </c>
    </row>
    <row r="468" spans="24:24" x14ac:dyDescent="0.25">
      <c r="X468" t="str">
        <f>IFERROR(INDEX(tabSource[Artikel],SMALL(tabSource[Liste],COUNTIF(tabSource[Liste],"=0")+ROW(A467)-1))," ")</f>
        <v xml:space="preserve"> </v>
      </c>
    </row>
    <row r="469" spans="24:24" x14ac:dyDescent="0.25">
      <c r="X469" t="str">
        <f>IFERROR(INDEX(tabSource[Artikel],SMALL(tabSource[Liste],COUNTIF(tabSource[Liste],"=0")+ROW(A468)-1))," ")</f>
        <v xml:space="preserve"> </v>
      </c>
    </row>
    <row r="470" spans="24:24" x14ac:dyDescent="0.25">
      <c r="X470" t="str">
        <f>IFERROR(INDEX(tabSource[Artikel],SMALL(tabSource[Liste],COUNTIF(tabSource[Liste],"=0")+ROW(A469)-1))," ")</f>
        <v xml:space="preserve"> </v>
      </c>
    </row>
    <row r="471" spans="24:24" x14ac:dyDescent="0.25">
      <c r="X471" t="str">
        <f>IFERROR(INDEX(tabSource[Artikel],SMALL(tabSource[Liste],COUNTIF(tabSource[Liste],"=0")+ROW(A470)-1))," ")</f>
        <v xml:space="preserve"> </v>
      </c>
    </row>
    <row r="472" spans="24:24" x14ac:dyDescent="0.25">
      <c r="X472" t="str">
        <f>IFERROR(INDEX(tabSource[Artikel],SMALL(tabSource[Liste],COUNTIF(tabSource[Liste],"=0")+ROW(A471)-1))," ")</f>
        <v xml:space="preserve"> </v>
      </c>
    </row>
    <row r="473" spans="24:24" x14ac:dyDescent="0.25">
      <c r="X473" t="str">
        <f>IFERROR(INDEX(tabSource[Artikel],SMALL(tabSource[Liste],COUNTIF(tabSource[Liste],"=0")+ROW(A472)-1))," ")</f>
        <v xml:space="preserve"> </v>
      </c>
    </row>
    <row r="474" spans="24:24" x14ac:dyDescent="0.25">
      <c r="X474" t="str">
        <f>IFERROR(INDEX(tabSource[Artikel],SMALL(tabSource[Liste],COUNTIF(tabSource[Liste],"=0")+ROW(A473)-1))," ")</f>
        <v xml:space="preserve"> </v>
      </c>
    </row>
    <row r="475" spans="24:24" x14ac:dyDescent="0.25">
      <c r="X475" t="str">
        <f>IFERROR(INDEX(tabSource[Artikel],SMALL(tabSource[Liste],COUNTIF(tabSource[Liste],"=0")+ROW(A474)-1))," ")</f>
        <v xml:space="preserve"> </v>
      </c>
    </row>
    <row r="476" spans="24:24" x14ac:dyDescent="0.25">
      <c r="X476" t="str">
        <f>IFERROR(INDEX(tabSource[Artikel],SMALL(tabSource[Liste],COUNTIF(tabSource[Liste],"=0")+ROW(A475)-1))," ")</f>
        <v xml:space="preserve"> </v>
      </c>
    </row>
    <row r="477" spans="24:24" x14ac:dyDescent="0.25">
      <c r="X477" t="str">
        <f>IFERROR(INDEX(tabSource[Artikel],SMALL(tabSource[Liste],COUNTIF(tabSource[Liste],"=0")+ROW(A476)-1))," ")</f>
        <v xml:space="preserve"> </v>
      </c>
    </row>
    <row r="478" spans="24:24" x14ac:dyDescent="0.25">
      <c r="X478" t="str">
        <f>IFERROR(INDEX(tabSource[Artikel],SMALL(tabSource[Liste],COUNTIF(tabSource[Liste],"=0")+ROW(A477)-1))," ")</f>
        <v xml:space="preserve"> </v>
      </c>
    </row>
    <row r="479" spans="24:24" x14ac:dyDescent="0.25">
      <c r="X479" t="str">
        <f>IFERROR(INDEX(tabSource[Artikel],SMALL(tabSource[Liste],COUNTIF(tabSource[Liste],"=0")+ROW(A478)-1))," ")</f>
        <v xml:space="preserve"> </v>
      </c>
    </row>
    <row r="480" spans="24:24" x14ac:dyDescent="0.25">
      <c r="X480" t="str">
        <f>IFERROR(INDEX(tabSource[Artikel],SMALL(tabSource[Liste],COUNTIF(tabSource[Liste],"=0")+ROW(A479)-1))," ")</f>
        <v xml:space="preserve"> </v>
      </c>
    </row>
    <row r="481" spans="24:24" x14ac:dyDescent="0.25">
      <c r="X481" t="str">
        <f>IFERROR(INDEX(tabSource[Artikel],SMALL(tabSource[Liste],COUNTIF(tabSource[Liste],"=0")+ROW(A480)-1))," ")</f>
        <v xml:space="preserve"> </v>
      </c>
    </row>
    <row r="482" spans="24:24" x14ac:dyDescent="0.25">
      <c r="X482" t="str">
        <f>IFERROR(INDEX(tabSource[Artikel],SMALL(tabSource[Liste],COUNTIF(tabSource[Liste],"=0")+ROW(A481)-1))," ")</f>
        <v xml:space="preserve"> </v>
      </c>
    </row>
    <row r="483" spans="24:24" x14ac:dyDescent="0.25">
      <c r="X483" t="str">
        <f>IFERROR(INDEX(tabSource[Artikel],SMALL(tabSource[Liste],COUNTIF(tabSource[Liste],"=0")+ROW(A482)-1))," ")</f>
        <v xml:space="preserve"> </v>
      </c>
    </row>
    <row r="484" spans="24:24" x14ac:dyDescent="0.25">
      <c r="X484" t="str">
        <f>IFERROR(INDEX(tabSource[Artikel],SMALL(tabSource[Liste],COUNTIF(tabSource[Liste],"=0")+ROW(A483)-1))," ")</f>
        <v xml:space="preserve"> </v>
      </c>
    </row>
    <row r="485" spans="24:24" x14ac:dyDescent="0.25">
      <c r="X485" t="str">
        <f>IFERROR(INDEX(tabSource[Artikel],SMALL(tabSource[Liste],COUNTIF(tabSource[Liste],"=0")+ROW(A484)-1))," ")</f>
        <v xml:space="preserve"> </v>
      </c>
    </row>
    <row r="486" spans="24:24" x14ac:dyDescent="0.25">
      <c r="X486" t="str">
        <f>IFERROR(INDEX(tabSource[Artikel],SMALL(tabSource[Liste],COUNTIF(tabSource[Liste],"=0")+ROW(A485)-1))," ")</f>
        <v xml:space="preserve"> </v>
      </c>
    </row>
    <row r="487" spans="24:24" x14ac:dyDescent="0.25">
      <c r="X487" t="str">
        <f>IFERROR(INDEX(tabSource[Artikel],SMALL(tabSource[Liste],COUNTIF(tabSource[Liste],"=0")+ROW(A486)-1))," ")</f>
        <v xml:space="preserve"> </v>
      </c>
    </row>
    <row r="488" spans="24:24" x14ac:dyDescent="0.25">
      <c r="X488" t="str">
        <f>IFERROR(INDEX(tabSource[Artikel],SMALL(tabSource[Liste],COUNTIF(tabSource[Liste],"=0")+ROW(A487)-1))," ")</f>
        <v xml:space="preserve"> </v>
      </c>
    </row>
    <row r="489" spans="24:24" x14ac:dyDescent="0.25">
      <c r="X489" t="str">
        <f>IFERROR(INDEX(tabSource[Artikel],SMALL(tabSource[Liste],COUNTIF(tabSource[Liste],"=0")+ROW(A488)-1))," ")</f>
        <v xml:space="preserve"> </v>
      </c>
    </row>
    <row r="490" spans="24:24" x14ac:dyDescent="0.25">
      <c r="X490" t="str">
        <f>IFERROR(INDEX(tabSource[Artikel],SMALL(tabSource[Liste],COUNTIF(tabSource[Liste],"=0")+ROW(A489)-1))," ")</f>
        <v xml:space="preserve"> </v>
      </c>
    </row>
    <row r="491" spans="24:24" x14ac:dyDescent="0.25">
      <c r="X491" t="str">
        <f>IFERROR(INDEX(tabSource[Artikel],SMALL(tabSource[Liste],COUNTIF(tabSource[Liste],"=0")+ROW(A490)-1))," ")</f>
        <v xml:space="preserve"> </v>
      </c>
    </row>
    <row r="492" spans="24:24" x14ac:dyDescent="0.25">
      <c r="X492" t="str">
        <f>IFERROR(INDEX(tabSource[Artikel],SMALL(tabSource[Liste],COUNTIF(tabSource[Liste],"=0")+ROW(A491)-1))," ")</f>
        <v xml:space="preserve"> </v>
      </c>
    </row>
    <row r="493" spans="24:24" x14ac:dyDescent="0.25">
      <c r="X493" t="str">
        <f>IFERROR(INDEX(tabSource[Artikel],SMALL(tabSource[Liste],COUNTIF(tabSource[Liste],"=0")+ROW(A492)-1))," ")</f>
        <v xml:space="preserve"> </v>
      </c>
    </row>
    <row r="494" spans="24:24" x14ac:dyDescent="0.25">
      <c r="X494" t="str">
        <f>IFERROR(INDEX(tabSource[Artikel],SMALL(tabSource[Liste],COUNTIF(tabSource[Liste],"=0")+ROW(A493)-1))," ")</f>
        <v xml:space="preserve"> </v>
      </c>
    </row>
    <row r="495" spans="24:24" x14ac:dyDescent="0.25">
      <c r="X495" t="str">
        <f>IFERROR(INDEX(tabSource[Artikel],SMALL(tabSource[Liste],COUNTIF(tabSource[Liste],"=0")+ROW(A494)-1))," ")</f>
        <v xml:space="preserve"> </v>
      </c>
    </row>
    <row r="496" spans="24:24" x14ac:dyDescent="0.25">
      <c r="X496" t="str">
        <f>IFERROR(INDEX(tabSource[Artikel],SMALL(tabSource[Liste],COUNTIF(tabSource[Liste],"=0")+ROW(A495)-1))," ")</f>
        <v xml:space="preserve"> </v>
      </c>
    </row>
    <row r="497" spans="24:24" x14ac:dyDescent="0.25">
      <c r="X497" t="str">
        <f>IFERROR(INDEX(tabSource[Artikel],SMALL(tabSource[Liste],COUNTIF(tabSource[Liste],"=0")+ROW(A496)-1))," ")</f>
        <v xml:space="preserve"> </v>
      </c>
    </row>
    <row r="498" spans="24:24" x14ac:dyDescent="0.25">
      <c r="X498" t="str">
        <f>IFERROR(INDEX(tabSource[Artikel],SMALL(tabSource[Liste],COUNTIF(tabSource[Liste],"=0")+ROW(A497)-1))," ")</f>
        <v xml:space="preserve"> </v>
      </c>
    </row>
    <row r="499" spans="24:24" x14ac:dyDescent="0.25">
      <c r="X499" t="str">
        <f>IFERROR(INDEX(tabSource[Artikel],SMALL(tabSource[Liste],COUNTIF(tabSource[Liste],"=0")+ROW(A498)-1))," ")</f>
        <v xml:space="preserve"> </v>
      </c>
    </row>
    <row r="500" spans="24:24" x14ac:dyDescent="0.25">
      <c r="X500" t="str">
        <f>IFERROR(INDEX(tabSource[Artikel],SMALL(tabSource[Liste],COUNTIF(tabSource[Liste],"=0")+ROW(A499)-1))," ")</f>
        <v xml:space="preserve"> </v>
      </c>
    </row>
    <row r="501" spans="24:24" x14ac:dyDescent="0.25">
      <c r="X501" t="str">
        <f>IFERROR(INDEX(tabSource[Artikel],SMALL(tabSource[Liste],COUNTIF(tabSource[Liste],"=0")+ROW(A500)-1))," ")</f>
        <v xml:space="preserve"> </v>
      </c>
    </row>
    <row r="502" spans="24:24" x14ac:dyDescent="0.25">
      <c r="X502" s="37" t="str">
        <f>IFERROR(INDEX(tabSource[Artikel],SMALL(tabSource[Liste],COUNTIF(tabSource[Liste],"=0")+ROW(A501)-1))," ")</f>
        <v xml:space="preserve"> </v>
      </c>
    </row>
    <row r="503" spans="24:24" x14ac:dyDescent="0.25">
      <c r="X503" s="37" t="str">
        <f>IFERROR(INDEX(tabSource[Artikel],SMALL(tabSource[Liste],COUNTIF(tabSource[Liste],"=0")+ROW(A502)-1))," ")</f>
        <v xml:space="preserve"> </v>
      </c>
    </row>
    <row r="504" spans="24:24" x14ac:dyDescent="0.25">
      <c r="X504" s="37" t="str">
        <f>IFERROR(INDEX(tabSource[Artikel],SMALL(tabSource[Liste],COUNTIF(tabSource[Liste],"=0")+ROW(A503)-1))," ")</f>
        <v xml:space="preserve"> </v>
      </c>
    </row>
    <row r="505" spans="24:24" x14ac:dyDescent="0.25">
      <c r="X505" s="37" t="str">
        <f>IFERROR(INDEX(tabSource[Artikel],SMALL(tabSource[Liste],COUNTIF(tabSource[Liste],"=0")+ROW(A504)-1))," ")</f>
        <v xml:space="preserve"> </v>
      </c>
    </row>
    <row r="506" spans="24:24" x14ac:dyDescent="0.25">
      <c r="X506" s="37" t="str">
        <f>IFERROR(INDEX(tabSource[Artikel],SMALL(tabSource[Liste],COUNTIF(tabSource[Liste],"=0")+ROW(A505)-1))," ")</f>
        <v xml:space="preserve"> </v>
      </c>
    </row>
    <row r="507" spans="24:24" x14ac:dyDescent="0.25">
      <c r="X507" s="37" t="str">
        <f>IFERROR(INDEX(tabSource[Artikel],SMALL(tabSource[Liste],COUNTIF(tabSource[Liste],"=0")+ROW(A506)-1))," ")</f>
        <v xml:space="preserve"> </v>
      </c>
    </row>
    <row r="508" spans="24:24" x14ac:dyDescent="0.25">
      <c r="X508" s="37" t="str">
        <f>IFERROR(INDEX(tabSource[Artikel],SMALL(tabSource[Liste],COUNTIF(tabSource[Liste],"=0")+ROW(A507)-1))," ")</f>
        <v xml:space="preserve"> </v>
      </c>
    </row>
    <row r="509" spans="24:24" x14ac:dyDescent="0.25">
      <c r="X509" s="37" t="str">
        <f>IFERROR(INDEX(tabSource[Artikel],SMALL(tabSource[Liste],COUNTIF(tabSource[Liste],"=0")+ROW(A508)-1))," ")</f>
        <v xml:space="preserve"> </v>
      </c>
    </row>
    <row r="510" spans="24:24" x14ac:dyDescent="0.25">
      <c r="X510" s="37" t="str">
        <f>IFERROR(INDEX(tabSource[Artikel],SMALL(tabSource[Liste],COUNTIF(tabSource[Liste],"=0")+ROW(A509)-1))," ")</f>
        <v xml:space="preserve"> </v>
      </c>
    </row>
    <row r="511" spans="24:24" x14ac:dyDescent="0.25">
      <c r="X511" s="37" t="str">
        <f>IFERROR(INDEX(tabSource[Artikel],SMALL(tabSource[Liste],COUNTIF(tabSource[Liste],"=0")+ROW(A510)-1))," ")</f>
        <v xml:space="preserve"> </v>
      </c>
    </row>
    <row r="512" spans="24:24" x14ac:dyDescent="0.25">
      <c r="X512" s="37" t="str">
        <f>IFERROR(INDEX(tabSource[Artikel],SMALL(tabSource[Liste],COUNTIF(tabSource[Liste],"=0")+ROW(A511)-1))," ")</f>
        <v xml:space="preserve"> </v>
      </c>
    </row>
    <row r="513" spans="24:24" x14ac:dyDescent="0.25">
      <c r="X513" s="37" t="str">
        <f>IFERROR(INDEX(tabSource[Artikel],SMALL(tabSource[Liste],COUNTIF(tabSource[Liste],"=0")+ROW(A512)-1))," ")</f>
        <v xml:space="preserve"> </v>
      </c>
    </row>
    <row r="514" spans="24:24" x14ac:dyDescent="0.25">
      <c r="X514" s="37" t="str">
        <f>IFERROR(INDEX(tabSource[Artikel],SMALL(tabSource[Liste],COUNTIF(tabSource[Liste],"=0")+ROW(A513)-1))," ")</f>
        <v xml:space="preserve"> </v>
      </c>
    </row>
    <row r="515" spans="24:24" x14ac:dyDescent="0.25">
      <c r="X515" s="37" t="str">
        <f>IFERROR(INDEX(tabSource[Artikel],SMALL(tabSource[Liste],COUNTIF(tabSource[Liste],"=0")+ROW(A514)-1))," ")</f>
        <v xml:space="preserve"> </v>
      </c>
    </row>
    <row r="516" spans="24:24" x14ac:dyDescent="0.25">
      <c r="X516" s="37" t="str">
        <f>IFERROR(INDEX(tabSource[Artikel],SMALL(tabSource[Liste],COUNTIF(tabSource[Liste],"=0")+ROW(A515)-1))," ")</f>
        <v xml:space="preserve"> </v>
      </c>
    </row>
    <row r="517" spans="24:24" x14ac:dyDescent="0.25">
      <c r="X517" s="37" t="str">
        <f>IFERROR(INDEX(tabSource[Artikel],SMALL(tabSource[Liste],COUNTIF(tabSource[Liste],"=0")+ROW(A516)-1))," ")</f>
        <v xml:space="preserve"> </v>
      </c>
    </row>
    <row r="518" spans="24:24" x14ac:dyDescent="0.25">
      <c r="X518" s="37" t="str">
        <f>IFERROR(INDEX(tabSource[Artikel],SMALL(tabSource[Liste],COUNTIF(tabSource[Liste],"=0")+ROW(A517)-1))," ")</f>
        <v xml:space="preserve"> </v>
      </c>
    </row>
    <row r="519" spans="24:24" x14ac:dyDescent="0.25">
      <c r="X519" s="37" t="str">
        <f>IFERROR(INDEX(tabSource[Artikel],SMALL(tabSource[Liste],COUNTIF(tabSource[Liste],"=0")+ROW(A518)-1))," ")</f>
        <v xml:space="preserve"> </v>
      </c>
    </row>
    <row r="520" spans="24:24" x14ac:dyDescent="0.25">
      <c r="X520" s="37" t="str">
        <f>IFERROR(INDEX(tabSource[Artikel],SMALL(tabSource[Liste],COUNTIF(tabSource[Liste],"=0")+ROW(A519)-1))," ")</f>
        <v xml:space="preserve"> </v>
      </c>
    </row>
    <row r="521" spans="24:24" x14ac:dyDescent="0.25">
      <c r="X521" s="37" t="str">
        <f>IFERROR(INDEX(tabSource[Artikel],SMALL(tabSource[Liste],COUNTIF(tabSource[Liste],"=0")+ROW(A520)-1))," ")</f>
        <v xml:space="preserve"> </v>
      </c>
    </row>
    <row r="522" spans="24:24" x14ac:dyDescent="0.25">
      <c r="X522" s="37" t="str">
        <f>IFERROR(INDEX(tabSource[Artikel],SMALL(tabSource[Liste],COUNTIF(tabSource[Liste],"=0")+ROW(A521)-1))," ")</f>
        <v xml:space="preserve"> </v>
      </c>
    </row>
    <row r="523" spans="24:24" x14ac:dyDescent="0.25">
      <c r="X523" s="37" t="str">
        <f>IFERROR(INDEX(tabSource[Artikel],SMALL(tabSource[Liste],COUNTIF(tabSource[Liste],"=0")+ROW(A522)-1))," ")</f>
        <v xml:space="preserve"> </v>
      </c>
    </row>
    <row r="524" spans="24:24" x14ac:dyDescent="0.25">
      <c r="X524" s="37" t="str">
        <f>IFERROR(INDEX(tabSource[Artikel],SMALL(tabSource[Liste],COUNTIF(tabSource[Liste],"=0")+ROW(A523)-1))," ")</f>
        <v xml:space="preserve"> </v>
      </c>
    </row>
    <row r="525" spans="24:24" x14ac:dyDescent="0.25">
      <c r="X525" s="37" t="str">
        <f>IFERROR(INDEX(tabSource[Artikel],SMALL(tabSource[Liste],COUNTIF(tabSource[Liste],"=0")+ROW(A524)-1))," ")</f>
        <v xml:space="preserve"> </v>
      </c>
    </row>
    <row r="526" spans="24:24" x14ac:dyDescent="0.25">
      <c r="X526" s="37" t="str">
        <f>IFERROR(INDEX(tabSource[Artikel],SMALL(tabSource[Liste],COUNTIF(tabSource[Liste],"=0")+ROW(A525)-1))," ")</f>
        <v xml:space="preserve"> </v>
      </c>
    </row>
    <row r="527" spans="24:24" x14ac:dyDescent="0.25">
      <c r="X527" s="37" t="str">
        <f>IFERROR(INDEX(tabSource[Artikel],SMALL(tabSource[Liste],COUNTIF(tabSource[Liste],"=0")+ROW(A526)-1))," ")</f>
        <v xml:space="preserve"> </v>
      </c>
    </row>
    <row r="528" spans="24:24" x14ac:dyDescent="0.25">
      <c r="X528" s="37" t="str">
        <f>IFERROR(INDEX(tabSource[Artikel],SMALL(tabSource[Liste],COUNTIF(tabSource[Liste],"=0")+ROW(A527)-1))," ")</f>
        <v xml:space="preserve"> </v>
      </c>
    </row>
    <row r="529" spans="24:24" x14ac:dyDescent="0.25">
      <c r="X529" s="37" t="str">
        <f>IFERROR(INDEX(tabSource[Artikel],SMALL(tabSource[Liste],COUNTIF(tabSource[Liste],"=0")+ROW(A528)-1))," ")</f>
        <v xml:space="preserve"> </v>
      </c>
    </row>
    <row r="530" spans="24:24" x14ac:dyDescent="0.25">
      <c r="X530" s="37" t="str">
        <f>IFERROR(INDEX(tabSource[Artikel],SMALL(tabSource[Liste],COUNTIF(tabSource[Liste],"=0")+ROW(A529)-1))," ")</f>
        <v xml:space="preserve"> </v>
      </c>
    </row>
    <row r="531" spans="24:24" x14ac:dyDescent="0.25">
      <c r="X531" s="37" t="str">
        <f>IFERROR(INDEX(tabSource[Artikel],SMALL(tabSource[Liste],COUNTIF(tabSource[Liste],"=0")+ROW(A530)-1))," ")</f>
        <v xml:space="preserve"> </v>
      </c>
    </row>
    <row r="532" spans="24:24" x14ac:dyDescent="0.25">
      <c r="X532" s="37" t="str">
        <f>IFERROR(INDEX(tabSource[Artikel],SMALL(tabSource[Liste],COUNTIF(tabSource[Liste],"=0")+ROW(A531)-1))," ")</f>
        <v xml:space="preserve"> </v>
      </c>
    </row>
    <row r="533" spans="24:24" x14ac:dyDescent="0.25">
      <c r="X533" s="37" t="str">
        <f>IFERROR(INDEX(tabSource[Artikel],SMALL(tabSource[Liste],COUNTIF(tabSource[Liste],"=0")+ROW(A532)-1))," ")</f>
        <v xml:space="preserve"> </v>
      </c>
    </row>
    <row r="534" spans="24:24" x14ac:dyDescent="0.25">
      <c r="X534" s="37" t="str">
        <f>IFERROR(INDEX(tabSource[Artikel],SMALL(tabSource[Liste],COUNTIF(tabSource[Liste],"=0")+ROW(A533)-1))," ")</f>
        <v xml:space="preserve"> </v>
      </c>
    </row>
    <row r="535" spans="24:24" x14ac:dyDescent="0.25">
      <c r="X535" s="37" t="str">
        <f>IFERROR(INDEX(tabSource[Artikel],SMALL(tabSource[Liste],COUNTIF(tabSource[Liste],"=0")+ROW(A534)-1))," ")</f>
        <v xml:space="preserve"> </v>
      </c>
    </row>
    <row r="536" spans="24:24" x14ac:dyDescent="0.25">
      <c r="X536" s="37" t="str">
        <f>IFERROR(INDEX(tabSource[Artikel],SMALL(tabSource[Liste],COUNTIF(tabSource[Liste],"=0")+ROW(A535)-1))," ")</f>
        <v xml:space="preserve"> </v>
      </c>
    </row>
    <row r="537" spans="24:24" x14ac:dyDescent="0.25">
      <c r="X537" s="37" t="str">
        <f>IFERROR(INDEX(tabSource[Artikel],SMALL(tabSource[Liste],COUNTIF(tabSource[Liste],"=0")+ROW(A536)-1))," ")</f>
        <v xml:space="preserve"> </v>
      </c>
    </row>
    <row r="538" spans="24:24" x14ac:dyDescent="0.25">
      <c r="X538" s="37" t="str">
        <f>IFERROR(INDEX(tabSource[Artikel],SMALL(tabSource[Liste],COUNTIF(tabSource[Liste],"=0")+ROW(A537)-1))," ")</f>
        <v xml:space="preserve"> </v>
      </c>
    </row>
    <row r="539" spans="24:24" x14ac:dyDescent="0.25">
      <c r="X539" s="37" t="str">
        <f>IFERROR(INDEX(tabSource[Artikel],SMALL(tabSource[Liste],COUNTIF(tabSource[Liste],"=0")+ROW(A538)-1))," ")</f>
        <v xml:space="preserve"> </v>
      </c>
    </row>
    <row r="540" spans="24:24" x14ac:dyDescent="0.25">
      <c r="X540" s="37" t="str">
        <f>IFERROR(INDEX(tabSource[Artikel],SMALL(tabSource[Liste],COUNTIF(tabSource[Liste],"=0")+ROW(A539)-1))," ")</f>
        <v xml:space="preserve"> </v>
      </c>
    </row>
    <row r="541" spans="24:24" x14ac:dyDescent="0.25">
      <c r="X541" s="37" t="str">
        <f>IFERROR(INDEX(tabSource[Artikel],SMALL(tabSource[Liste],COUNTIF(tabSource[Liste],"=0")+ROW(A540)-1))," ")</f>
        <v xml:space="preserve"> </v>
      </c>
    </row>
    <row r="542" spans="24:24" x14ac:dyDescent="0.25">
      <c r="X542" s="37" t="str">
        <f>IFERROR(INDEX(tabSource[Artikel],SMALL(tabSource[Liste],COUNTIF(tabSource[Liste],"=0")+ROW(A541)-1))," ")</f>
        <v xml:space="preserve"> </v>
      </c>
    </row>
    <row r="543" spans="24:24" x14ac:dyDescent="0.25">
      <c r="X543" s="37" t="str">
        <f>IFERROR(INDEX(tabSource[Artikel],SMALL(tabSource[Liste],COUNTIF(tabSource[Liste],"=0")+ROW(A542)-1))," ")</f>
        <v xml:space="preserve"> </v>
      </c>
    </row>
    <row r="544" spans="24:24" x14ac:dyDescent="0.25">
      <c r="X544" s="37" t="str">
        <f>IFERROR(INDEX(tabSource[Artikel],SMALL(tabSource[Liste],COUNTIF(tabSource[Liste],"=0")+ROW(A543)-1))," ")</f>
        <v xml:space="preserve"> </v>
      </c>
    </row>
    <row r="545" spans="24:24" x14ac:dyDescent="0.25">
      <c r="X545" s="37" t="str">
        <f>IFERROR(INDEX(tabSource[Artikel],SMALL(tabSource[Liste],COUNTIF(tabSource[Liste],"=0")+ROW(A544)-1))," ")</f>
        <v xml:space="preserve"> </v>
      </c>
    </row>
    <row r="546" spans="24:24" x14ac:dyDescent="0.25">
      <c r="X546" s="37" t="str">
        <f>IFERROR(INDEX(tabSource[Artikel],SMALL(tabSource[Liste],COUNTIF(tabSource[Liste],"=0")+ROW(A545)-1))," ")</f>
        <v xml:space="preserve"> </v>
      </c>
    </row>
    <row r="547" spans="24:24" x14ac:dyDescent="0.25">
      <c r="X547" s="37" t="str">
        <f>IFERROR(INDEX(tabSource[Artikel],SMALL(tabSource[Liste],COUNTIF(tabSource[Liste],"=0")+ROW(A546)-1))," ")</f>
        <v xml:space="preserve"> </v>
      </c>
    </row>
    <row r="548" spans="24:24" x14ac:dyDescent="0.25">
      <c r="X548" s="37" t="str">
        <f>IFERROR(INDEX(tabSource[Artikel],SMALL(tabSource[Liste],COUNTIF(tabSource[Liste],"=0")+ROW(A547)-1))," ")</f>
        <v xml:space="preserve"> </v>
      </c>
    </row>
    <row r="549" spans="24:24" x14ac:dyDescent="0.25">
      <c r="X549" s="37" t="str">
        <f>IFERROR(INDEX(tabSource[Artikel],SMALL(tabSource[Liste],COUNTIF(tabSource[Liste],"=0")+ROW(A548)-1))," ")</f>
        <v xml:space="preserve"> </v>
      </c>
    </row>
    <row r="550" spans="24:24" x14ac:dyDescent="0.25">
      <c r="X550" s="37" t="str">
        <f>IFERROR(INDEX(tabSource[Artikel],SMALL(tabSource[Liste],COUNTIF(tabSource[Liste],"=0")+ROW(A549)-1))," ")</f>
        <v xml:space="preserve"> </v>
      </c>
    </row>
    <row r="551" spans="24:24" x14ac:dyDescent="0.25">
      <c r="X551" s="37" t="str">
        <f>IFERROR(INDEX(tabSource[Artikel],SMALL(tabSource[Liste],COUNTIF(tabSource[Liste],"=0")+ROW(A550)-1))," ")</f>
        <v xml:space="preserve"> </v>
      </c>
    </row>
    <row r="552" spans="24:24" x14ac:dyDescent="0.25">
      <c r="X552" s="37" t="str">
        <f>IFERROR(INDEX(tabSource[Artikel],SMALL(tabSource[Liste],COUNTIF(tabSource[Liste],"=0")+ROW(A551)-1))," ")</f>
        <v xml:space="preserve"> </v>
      </c>
    </row>
    <row r="553" spans="24:24" x14ac:dyDescent="0.25">
      <c r="X553" s="37" t="str">
        <f>IFERROR(INDEX(tabSource[Artikel],SMALL(tabSource[Liste],COUNTIF(tabSource[Liste],"=0")+ROW(A552)-1))," ")</f>
        <v xml:space="preserve"> </v>
      </c>
    </row>
    <row r="554" spans="24:24" x14ac:dyDescent="0.25">
      <c r="X554" s="37" t="str">
        <f>IFERROR(INDEX(tabSource[Artikel],SMALL(tabSource[Liste],COUNTIF(tabSource[Liste],"=0")+ROW(A553)-1))," ")</f>
        <v xml:space="preserve"> </v>
      </c>
    </row>
    <row r="555" spans="24:24" x14ac:dyDescent="0.25">
      <c r="X555" s="37" t="str">
        <f>IFERROR(INDEX(tabSource[Artikel],SMALL(tabSource[Liste],COUNTIF(tabSource[Liste],"=0")+ROW(A554)-1))," ")</f>
        <v xml:space="preserve"> </v>
      </c>
    </row>
    <row r="556" spans="24:24" x14ac:dyDescent="0.25">
      <c r="X556" s="37" t="str">
        <f>IFERROR(INDEX(tabSource[Artikel],SMALL(tabSource[Liste],COUNTIF(tabSource[Liste],"=0")+ROW(A555)-1))," ")</f>
        <v xml:space="preserve"> </v>
      </c>
    </row>
    <row r="557" spans="24:24" x14ac:dyDescent="0.25">
      <c r="X557" s="37" t="str">
        <f>IFERROR(INDEX(tabSource[Artikel],SMALL(tabSource[Liste],COUNTIF(tabSource[Liste],"=0")+ROW(A556)-1))," ")</f>
        <v xml:space="preserve"> </v>
      </c>
    </row>
    <row r="558" spans="24:24" x14ac:dyDescent="0.25">
      <c r="X558" s="37" t="str">
        <f>IFERROR(INDEX(tabSource[Artikel],SMALL(tabSource[Liste],COUNTIF(tabSource[Liste],"=0")+ROW(A557)-1))," ")</f>
        <v xml:space="preserve"> </v>
      </c>
    </row>
    <row r="559" spans="24:24" x14ac:dyDescent="0.25">
      <c r="X559" s="37" t="str">
        <f>IFERROR(INDEX(tabSource[Artikel],SMALL(tabSource[Liste],COUNTIF(tabSource[Liste],"=0")+ROW(A558)-1))," ")</f>
        <v xml:space="preserve"> </v>
      </c>
    </row>
    <row r="560" spans="24:24" x14ac:dyDescent="0.25">
      <c r="X560" s="37" t="str">
        <f>IFERROR(INDEX(tabSource[Artikel],SMALL(tabSource[Liste],COUNTIF(tabSource[Liste],"=0")+ROW(A559)-1))," ")</f>
        <v xml:space="preserve"> </v>
      </c>
    </row>
    <row r="561" spans="24:24" x14ac:dyDescent="0.25">
      <c r="X561" s="37" t="str">
        <f>IFERROR(INDEX(tabSource[Artikel],SMALL(tabSource[Liste],COUNTIF(tabSource[Liste],"=0")+ROW(A560)-1))," ")</f>
        <v xml:space="preserve"> </v>
      </c>
    </row>
    <row r="562" spans="24:24" x14ac:dyDescent="0.25">
      <c r="X562" s="37" t="str">
        <f>IFERROR(INDEX(tabSource[Artikel],SMALL(tabSource[Liste],COUNTIF(tabSource[Liste],"=0")+ROW(A561)-1))," ")</f>
        <v xml:space="preserve"> </v>
      </c>
    </row>
    <row r="563" spans="24:24" x14ac:dyDescent="0.25">
      <c r="X563" s="37" t="str">
        <f>IFERROR(INDEX(tabSource[Artikel],SMALL(tabSource[Liste],COUNTIF(tabSource[Liste],"=0")+ROW(A562)-1))," ")</f>
        <v xml:space="preserve"> </v>
      </c>
    </row>
    <row r="564" spans="24:24" x14ac:dyDescent="0.25">
      <c r="X564" s="37" t="str">
        <f>IFERROR(INDEX(tabSource[Artikel],SMALL(tabSource[Liste],COUNTIF(tabSource[Liste],"=0")+ROW(A563)-1))," ")</f>
        <v xml:space="preserve"> </v>
      </c>
    </row>
    <row r="565" spans="24:24" x14ac:dyDescent="0.25">
      <c r="X565" s="37" t="str">
        <f>IFERROR(INDEX(tabSource[Artikel],SMALL(tabSource[Liste],COUNTIF(tabSource[Liste],"=0")+ROW(A564)-1))," ")</f>
        <v xml:space="preserve"> </v>
      </c>
    </row>
    <row r="566" spans="24:24" x14ac:dyDescent="0.25">
      <c r="X566" s="37" t="str">
        <f>IFERROR(INDEX(tabSource[Artikel],SMALL(tabSource[Liste],COUNTIF(tabSource[Liste],"=0")+ROW(A565)-1))," ")</f>
        <v xml:space="preserve"> </v>
      </c>
    </row>
    <row r="567" spans="24:24" x14ac:dyDescent="0.25">
      <c r="X567" s="37" t="str">
        <f>IFERROR(INDEX(tabSource[Artikel],SMALL(tabSource[Liste],COUNTIF(tabSource[Liste],"=0")+ROW(A566)-1))," ")</f>
        <v xml:space="preserve"> </v>
      </c>
    </row>
    <row r="568" spans="24:24" x14ac:dyDescent="0.25">
      <c r="X568" s="37" t="str">
        <f>IFERROR(INDEX(tabSource[Artikel],SMALL(tabSource[Liste],COUNTIF(tabSource[Liste],"=0")+ROW(A567)-1))," ")</f>
        <v xml:space="preserve"> </v>
      </c>
    </row>
    <row r="569" spans="24:24" x14ac:dyDescent="0.25">
      <c r="X569" s="37" t="str">
        <f>IFERROR(INDEX(tabSource[Artikel],SMALL(tabSource[Liste],COUNTIF(tabSource[Liste],"=0")+ROW(A568)-1))," ")</f>
        <v xml:space="preserve"> </v>
      </c>
    </row>
    <row r="570" spans="24:24" x14ac:dyDescent="0.25">
      <c r="X570" s="37" t="str">
        <f>IFERROR(INDEX(tabSource[Artikel],SMALL(tabSource[Liste],COUNTIF(tabSource[Liste],"=0")+ROW(A569)-1))," ")</f>
        <v xml:space="preserve"> </v>
      </c>
    </row>
    <row r="571" spans="24:24" x14ac:dyDescent="0.25">
      <c r="X571" s="37" t="str">
        <f>IFERROR(INDEX(tabSource[Artikel],SMALL(tabSource[Liste],COUNTIF(tabSource[Liste],"=0")+ROW(A570)-1))," ")</f>
        <v xml:space="preserve"> </v>
      </c>
    </row>
    <row r="572" spans="24:24" x14ac:dyDescent="0.25">
      <c r="X572" s="37" t="str">
        <f>IFERROR(INDEX(tabSource[Artikel],SMALL(tabSource[Liste],COUNTIF(tabSource[Liste],"=0")+ROW(A571)-1))," ")</f>
        <v xml:space="preserve"> </v>
      </c>
    </row>
    <row r="573" spans="24:24" x14ac:dyDescent="0.25">
      <c r="X573" s="37" t="str">
        <f>IFERROR(INDEX(tabSource[Artikel],SMALL(tabSource[Liste],COUNTIF(tabSource[Liste],"=0")+ROW(A572)-1))," ")</f>
        <v xml:space="preserve"> </v>
      </c>
    </row>
    <row r="574" spans="24:24" x14ac:dyDescent="0.25">
      <c r="X574" s="37" t="str">
        <f>IFERROR(INDEX(tabSource[Artikel],SMALL(tabSource[Liste],COUNTIF(tabSource[Liste],"=0")+ROW(A573)-1))," ")</f>
        <v xml:space="preserve"> </v>
      </c>
    </row>
    <row r="575" spans="24:24" x14ac:dyDescent="0.25">
      <c r="X575" s="37" t="str">
        <f>IFERROR(INDEX(tabSource[Artikel],SMALL(tabSource[Liste],COUNTIF(tabSource[Liste],"=0")+ROW(A574)-1))," ")</f>
        <v xml:space="preserve"> </v>
      </c>
    </row>
    <row r="576" spans="24:24" x14ac:dyDescent="0.25">
      <c r="X576" s="37" t="str">
        <f>IFERROR(INDEX(tabSource[Artikel],SMALL(tabSource[Liste],COUNTIF(tabSource[Liste],"=0")+ROW(A575)-1))," ")</f>
        <v xml:space="preserve"> </v>
      </c>
    </row>
    <row r="577" spans="24:24" x14ac:dyDescent="0.25">
      <c r="X577" s="37" t="str">
        <f>IFERROR(INDEX(tabSource[Artikel],SMALL(tabSource[Liste],COUNTIF(tabSource[Liste],"=0")+ROW(A576)-1))," ")</f>
        <v xml:space="preserve"> </v>
      </c>
    </row>
    <row r="578" spans="24:24" x14ac:dyDescent="0.25">
      <c r="X578" s="37" t="str">
        <f>IFERROR(INDEX(tabSource[Artikel],SMALL(tabSource[Liste],COUNTIF(tabSource[Liste],"=0")+ROW(A577)-1))," ")</f>
        <v xml:space="preserve"> </v>
      </c>
    </row>
    <row r="579" spans="24:24" x14ac:dyDescent="0.25">
      <c r="X579" s="37" t="str">
        <f>IFERROR(INDEX(tabSource[Artikel],SMALL(tabSource[Liste],COUNTIF(tabSource[Liste],"=0")+ROW(A578)-1))," ")</f>
        <v xml:space="preserve"> </v>
      </c>
    </row>
    <row r="580" spans="24:24" x14ac:dyDescent="0.25">
      <c r="X580" s="37" t="str">
        <f>IFERROR(INDEX(tabSource[Artikel],SMALL(tabSource[Liste],COUNTIF(tabSource[Liste],"=0")+ROW(A579)-1))," ")</f>
        <v xml:space="preserve"> </v>
      </c>
    </row>
    <row r="581" spans="24:24" x14ac:dyDescent="0.25">
      <c r="X581" s="37" t="str">
        <f>IFERROR(INDEX(tabSource[Artikel],SMALL(tabSource[Liste],COUNTIF(tabSource[Liste],"=0")+ROW(A580)-1))," ")</f>
        <v xml:space="preserve"> </v>
      </c>
    </row>
    <row r="582" spans="24:24" x14ac:dyDescent="0.25">
      <c r="X582" s="37" t="str">
        <f>IFERROR(INDEX(tabSource[Artikel],SMALL(tabSource[Liste],COUNTIF(tabSource[Liste],"=0")+ROW(A581)-1))," ")</f>
        <v xml:space="preserve"> </v>
      </c>
    </row>
    <row r="583" spans="24:24" x14ac:dyDescent="0.25">
      <c r="X583" s="37" t="str">
        <f>IFERROR(INDEX(tabSource[Artikel],SMALL(tabSource[Liste],COUNTIF(tabSource[Liste],"=0")+ROW(A582)-1))," ")</f>
        <v xml:space="preserve"> </v>
      </c>
    </row>
    <row r="584" spans="24:24" x14ac:dyDescent="0.25">
      <c r="X584" s="37" t="str">
        <f>IFERROR(INDEX(tabSource[Artikel],SMALL(tabSource[Liste],COUNTIF(tabSource[Liste],"=0")+ROW(A583)-1))," ")</f>
        <v xml:space="preserve"> </v>
      </c>
    </row>
    <row r="585" spans="24:24" x14ac:dyDescent="0.25">
      <c r="X585" s="37" t="str">
        <f>IFERROR(INDEX(tabSource[Artikel],SMALL(tabSource[Liste],COUNTIF(tabSource[Liste],"=0")+ROW(A584)-1))," ")</f>
        <v xml:space="preserve"> </v>
      </c>
    </row>
    <row r="586" spans="24:24" x14ac:dyDescent="0.25">
      <c r="X586" s="37" t="str">
        <f>IFERROR(INDEX(tabSource[Artikel],SMALL(tabSource[Liste],COUNTIF(tabSource[Liste],"=0")+ROW(A585)-1))," ")</f>
        <v xml:space="preserve"> </v>
      </c>
    </row>
    <row r="587" spans="24:24" x14ac:dyDescent="0.25">
      <c r="X587" s="37" t="str">
        <f>IFERROR(INDEX(tabSource[Artikel],SMALL(tabSource[Liste],COUNTIF(tabSource[Liste],"=0")+ROW(A586)-1))," ")</f>
        <v xml:space="preserve"> </v>
      </c>
    </row>
    <row r="588" spans="24:24" x14ac:dyDescent="0.25">
      <c r="X588" s="37" t="str">
        <f>IFERROR(INDEX(tabSource[Artikel],SMALL(tabSource[Liste],COUNTIF(tabSource[Liste],"=0")+ROW(A587)-1))," ")</f>
        <v xml:space="preserve"> </v>
      </c>
    </row>
    <row r="589" spans="24:24" x14ac:dyDescent="0.25">
      <c r="X589" s="37" t="str">
        <f>IFERROR(INDEX(tabSource[Artikel],SMALL(tabSource[Liste],COUNTIF(tabSource[Liste],"=0")+ROW(A588)-1))," ")</f>
        <v xml:space="preserve"> </v>
      </c>
    </row>
    <row r="590" spans="24:24" x14ac:dyDescent="0.25">
      <c r="X590" s="37" t="str">
        <f>IFERROR(INDEX(tabSource[Artikel],SMALL(tabSource[Liste],COUNTIF(tabSource[Liste],"=0")+ROW(A589)-1))," ")</f>
        <v xml:space="preserve"> </v>
      </c>
    </row>
    <row r="591" spans="24:24" x14ac:dyDescent="0.25">
      <c r="X591" s="37" t="str">
        <f>IFERROR(INDEX(tabSource[Artikel],SMALL(tabSource[Liste],COUNTIF(tabSource[Liste],"=0")+ROW(A590)-1))," ")</f>
        <v xml:space="preserve"> </v>
      </c>
    </row>
    <row r="592" spans="24:24" x14ac:dyDescent="0.25">
      <c r="X592" s="37" t="str">
        <f>IFERROR(INDEX(tabSource[Artikel],SMALL(tabSource[Liste],COUNTIF(tabSource[Liste],"=0")+ROW(A591)-1))," ")</f>
        <v xml:space="preserve"> </v>
      </c>
    </row>
    <row r="593" spans="24:24" x14ac:dyDescent="0.25">
      <c r="X593" s="37" t="str">
        <f>IFERROR(INDEX(tabSource[Artikel],SMALL(tabSource[Liste],COUNTIF(tabSource[Liste],"=0")+ROW(A592)-1))," ")</f>
        <v xml:space="preserve"> </v>
      </c>
    </row>
    <row r="594" spans="24:24" x14ac:dyDescent="0.25">
      <c r="X594" s="37" t="str">
        <f>IFERROR(INDEX(tabSource[Artikel],SMALL(tabSource[Liste],COUNTIF(tabSource[Liste],"=0")+ROW(A593)-1))," ")</f>
        <v xml:space="preserve"> </v>
      </c>
    </row>
    <row r="595" spans="24:24" x14ac:dyDescent="0.25">
      <c r="X595" s="37" t="str">
        <f>IFERROR(INDEX(tabSource[Artikel],SMALL(tabSource[Liste],COUNTIF(tabSource[Liste],"=0")+ROW(A594)-1))," ")</f>
        <v xml:space="preserve"> </v>
      </c>
    </row>
    <row r="596" spans="24:24" x14ac:dyDescent="0.25">
      <c r="X596" s="37" t="str">
        <f>IFERROR(INDEX(tabSource[Artikel],SMALL(tabSource[Liste],COUNTIF(tabSource[Liste],"=0")+ROW(A595)-1))," ")</f>
        <v xml:space="preserve"> </v>
      </c>
    </row>
    <row r="597" spans="24:24" x14ac:dyDescent="0.25">
      <c r="X597" s="37" t="str">
        <f>IFERROR(INDEX(tabSource[Artikel],SMALL(tabSource[Liste],COUNTIF(tabSource[Liste],"=0")+ROW(A596)-1))," ")</f>
        <v xml:space="preserve"> </v>
      </c>
    </row>
    <row r="598" spans="24:24" x14ac:dyDescent="0.25">
      <c r="X598" s="37" t="str">
        <f>IFERROR(INDEX(tabSource[Artikel],SMALL(tabSource[Liste],COUNTIF(tabSource[Liste],"=0")+ROW(A597)-1))," ")</f>
        <v xml:space="preserve"> </v>
      </c>
    </row>
    <row r="599" spans="24:24" x14ac:dyDescent="0.25">
      <c r="X599" s="37" t="str">
        <f>IFERROR(INDEX(tabSource[Artikel],SMALL(tabSource[Liste],COUNTIF(tabSource[Liste],"=0")+ROW(A598)-1))," ")</f>
        <v xml:space="preserve"> </v>
      </c>
    </row>
    <row r="600" spans="24:24" x14ac:dyDescent="0.25">
      <c r="X600" s="37" t="str">
        <f>IFERROR(INDEX(tabSource[Artikel],SMALL(tabSource[Liste],COUNTIF(tabSource[Liste],"=0")+ROW(A599)-1))," ")</f>
        <v xml:space="preserve"> </v>
      </c>
    </row>
    <row r="601" spans="24:24" x14ac:dyDescent="0.25">
      <c r="X601" s="37" t="str">
        <f>IFERROR(INDEX(tabSource[Artikel],SMALL(tabSource[Liste],COUNTIF(tabSource[Liste],"=0")+ROW(A600)-1))," ")</f>
        <v xml:space="preserve"> </v>
      </c>
    </row>
    <row r="602" spans="24:24" x14ac:dyDescent="0.25">
      <c r="X602" s="37" t="str">
        <f>IFERROR(INDEX(tabSource[Artikel],SMALL(tabSource[Liste],COUNTIF(tabSource[Liste],"=0")+ROW(A601)-1))," ")</f>
        <v xml:space="preserve"> </v>
      </c>
    </row>
    <row r="603" spans="24:24" x14ac:dyDescent="0.25">
      <c r="X603" s="37" t="str">
        <f>IFERROR(INDEX(tabSource[Artikel],SMALL(tabSource[Liste],COUNTIF(tabSource[Liste],"=0")+ROW(A602)-1))," ")</f>
        <v xml:space="preserve"> </v>
      </c>
    </row>
    <row r="604" spans="24:24" x14ac:dyDescent="0.25">
      <c r="X604" s="37" t="str">
        <f>IFERROR(INDEX(tabSource[Artikel],SMALL(tabSource[Liste],COUNTIF(tabSource[Liste],"=0")+ROW(A603)-1))," ")</f>
        <v xml:space="preserve"> </v>
      </c>
    </row>
    <row r="605" spans="24:24" x14ac:dyDescent="0.25">
      <c r="X605" s="37" t="str">
        <f>IFERROR(INDEX(tabSource[Artikel],SMALL(tabSource[Liste],COUNTIF(tabSource[Liste],"=0")+ROW(A604)-1))," ")</f>
        <v xml:space="preserve"> </v>
      </c>
    </row>
    <row r="606" spans="24:24" x14ac:dyDescent="0.25">
      <c r="X606" s="37" t="str">
        <f>IFERROR(INDEX(tabSource[Artikel],SMALL(tabSource[Liste],COUNTIF(tabSource[Liste],"=0")+ROW(A605)-1))," ")</f>
        <v xml:space="preserve"> </v>
      </c>
    </row>
    <row r="607" spans="24:24" x14ac:dyDescent="0.25">
      <c r="X607" s="37" t="str">
        <f>IFERROR(INDEX(tabSource[Artikel],SMALL(tabSource[Liste],COUNTIF(tabSource[Liste],"=0")+ROW(A606)-1))," ")</f>
        <v xml:space="preserve"> </v>
      </c>
    </row>
    <row r="608" spans="24:24" x14ac:dyDescent="0.25">
      <c r="X608" s="37" t="str">
        <f>IFERROR(INDEX(tabSource[Artikel],SMALL(tabSource[Liste],COUNTIF(tabSource[Liste],"=0")+ROW(A607)-1))," ")</f>
        <v xml:space="preserve"> </v>
      </c>
    </row>
    <row r="609" spans="24:24" x14ac:dyDescent="0.25">
      <c r="X609" s="37" t="str">
        <f>IFERROR(INDEX(tabSource[Artikel],SMALL(tabSource[Liste],COUNTIF(tabSource[Liste],"=0")+ROW(A608)-1))," ")</f>
        <v xml:space="preserve"> </v>
      </c>
    </row>
    <row r="610" spans="24:24" x14ac:dyDescent="0.25">
      <c r="X610" s="37" t="str">
        <f>IFERROR(INDEX(tabSource[Artikel],SMALL(tabSource[Liste],COUNTIF(tabSource[Liste],"=0")+ROW(A609)-1))," ")</f>
        <v xml:space="preserve"> </v>
      </c>
    </row>
    <row r="611" spans="24:24" x14ac:dyDescent="0.25">
      <c r="X611" s="37" t="str">
        <f>IFERROR(INDEX(tabSource[Artikel],SMALL(tabSource[Liste],COUNTIF(tabSource[Liste],"=0")+ROW(A610)-1))," ")</f>
        <v xml:space="preserve"> </v>
      </c>
    </row>
    <row r="612" spans="24:24" x14ac:dyDescent="0.25">
      <c r="X612" s="37" t="str">
        <f>IFERROR(INDEX(tabSource[Artikel],SMALL(tabSource[Liste],COUNTIF(tabSource[Liste],"=0")+ROW(A611)-1))," ")</f>
        <v xml:space="preserve"> </v>
      </c>
    </row>
    <row r="613" spans="24:24" x14ac:dyDescent="0.25">
      <c r="X613" s="37" t="str">
        <f>IFERROR(INDEX(tabSource[Artikel],SMALL(tabSource[Liste],COUNTIF(tabSource[Liste],"=0")+ROW(A612)-1))," ")</f>
        <v xml:space="preserve"> </v>
      </c>
    </row>
    <row r="614" spans="24:24" x14ac:dyDescent="0.25">
      <c r="X614" s="37" t="str">
        <f>IFERROR(INDEX(tabSource[Artikel],SMALL(tabSource[Liste],COUNTIF(tabSource[Liste],"=0")+ROW(A613)-1))," ")</f>
        <v xml:space="preserve"> </v>
      </c>
    </row>
    <row r="615" spans="24:24" x14ac:dyDescent="0.25">
      <c r="X615" s="37" t="str">
        <f>IFERROR(INDEX(tabSource[Artikel],SMALL(tabSource[Liste],COUNTIF(tabSource[Liste],"=0")+ROW(A614)-1))," ")</f>
        <v xml:space="preserve"> </v>
      </c>
    </row>
    <row r="616" spans="24:24" x14ac:dyDescent="0.25">
      <c r="X616" s="37" t="str">
        <f>IFERROR(INDEX(tabSource[Artikel],SMALL(tabSource[Liste],COUNTIF(tabSource[Liste],"=0")+ROW(A615)-1))," ")</f>
        <v xml:space="preserve"> </v>
      </c>
    </row>
    <row r="617" spans="24:24" x14ac:dyDescent="0.25">
      <c r="X617" s="37" t="str">
        <f>IFERROR(INDEX(tabSource[Artikel],SMALL(tabSource[Liste],COUNTIF(tabSource[Liste],"=0")+ROW(A616)-1))," ")</f>
        <v xml:space="preserve"> </v>
      </c>
    </row>
    <row r="618" spans="24:24" x14ac:dyDescent="0.25">
      <c r="X618" s="37" t="str">
        <f>IFERROR(INDEX(tabSource[Artikel],SMALL(tabSource[Liste],COUNTIF(tabSource[Liste],"=0")+ROW(A617)-1))," ")</f>
        <v xml:space="preserve"> </v>
      </c>
    </row>
    <row r="619" spans="24:24" x14ac:dyDescent="0.25">
      <c r="X619" s="37" t="str">
        <f>IFERROR(INDEX(tabSource[Artikel],SMALL(tabSource[Liste],COUNTIF(tabSource[Liste],"=0")+ROW(A618)-1))," ")</f>
        <v xml:space="preserve"> </v>
      </c>
    </row>
    <row r="620" spans="24:24" x14ac:dyDescent="0.25">
      <c r="X620" s="37" t="str">
        <f>IFERROR(INDEX(tabSource[Artikel],SMALL(tabSource[Liste],COUNTIF(tabSource[Liste],"=0")+ROW(A619)-1))," ")</f>
        <v xml:space="preserve"> </v>
      </c>
    </row>
    <row r="621" spans="24:24" x14ac:dyDescent="0.25">
      <c r="X621" s="37" t="str">
        <f>IFERROR(INDEX(tabSource[Artikel],SMALL(tabSource[Liste],COUNTIF(tabSource[Liste],"=0")+ROW(A620)-1))," ")</f>
        <v xml:space="preserve"> </v>
      </c>
    </row>
    <row r="622" spans="24:24" x14ac:dyDescent="0.25">
      <c r="X622" s="37" t="str">
        <f>IFERROR(INDEX(tabSource[Artikel],SMALL(tabSource[Liste],COUNTIF(tabSource[Liste],"=0")+ROW(A621)-1))," ")</f>
        <v xml:space="preserve"> </v>
      </c>
    </row>
    <row r="623" spans="24:24" x14ac:dyDescent="0.25">
      <c r="X623" s="37" t="str">
        <f>IFERROR(INDEX(tabSource[Artikel],SMALL(tabSource[Liste],COUNTIF(tabSource[Liste],"=0")+ROW(A622)-1))," ")</f>
        <v xml:space="preserve"> </v>
      </c>
    </row>
    <row r="624" spans="24:24" x14ac:dyDescent="0.25">
      <c r="X624" s="37" t="str">
        <f>IFERROR(INDEX(tabSource[Artikel],SMALL(tabSource[Liste],COUNTIF(tabSource[Liste],"=0")+ROW(A623)-1))," ")</f>
        <v xml:space="preserve"> </v>
      </c>
    </row>
    <row r="625" spans="24:24" x14ac:dyDescent="0.25">
      <c r="X625" s="37" t="str">
        <f>IFERROR(INDEX(tabSource[Artikel],SMALL(tabSource[Liste],COUNTIF(tabSource[Liste],"=0")+ROW(A624)-1))," ")</f>
        <v xml:space="preserve"> </v>
      </c>
    </row>
    <row r="626" spans="24:24" x14ac:dyDescent="0.25">
      <c r="X626" s="37" t="str">
        <f>IFERROR(INDEX(tabSource[Artikel],SMALL(tabSource[Liste],COUNTIF(tabSource[Liste],"=0")+ROW(A625)-1))," ")</f>
        <v xml:space="preserve"> </v>
      </c>
    </row>
    <row r="627" spans="24:24" x14ac:dyDescent="0.25">
      <c r="X627" s="37" t="str">
        <f>IFERROR(INDEX(tabSource[Artikel],SMALL(tabSource[Liste],COUNTIF(tabSource[Liste],"=0")+ROW(A626)-1))," ")</f>
        <v xml:space="preserve"> </v>
      </c>
    </row>
    <row r="628" spans="24:24" x14ac:dyDescent="0.25">
      <c r="X628" s="37" t="str">
        <f>IFERROR(INDEX(tabSource[Artikel],SMALL(tabSource[Liste],COUNTIF(tabSource[Liste],"=0")+ROW(A627)-1))," ")</f>
        <v xml:space="preserve"> </v>
      </c>
    </row>
    <row r="629" spans="24:24" x14ac:dyDescent="0.25">
      <c r="X629" s="37" t="str">
        <f>IFERROR(INDEX(tabSource[Artikel],SMALL(tabSource[Liste],COUNTIF(tabSource[Liste],"=0")+ROW(A628)-1))," ")</f>
        <v xml:space="preserve"> </v>
      </c>
    </row>
    <row r="630" spans="24:24" x14ac:dyDescent="0.25">
      <c r="X630" s="37" t="str">
        <f>IFERROR(INDEX(tabSource[Artikel],SMALL(tabSource[Liste],COUNTIF(tabSource[Liste],"=0")+ROW(A629)-1))," ")</f>
        <v xml:space="preserve"> </v>
      </c>
    </row>
    <row r="631" spans="24:24" x14ac:dyDescent="0.25">
      <c r="X631" s="37" t="str">
        <f>IFERROR(INDEX(tabSource[Artikel],SMALL(tabSource[Liste],COUNTIF(tabSource[Liste],"=0")+ROW(A630)-1))," ")</f>
        <v xml:space="preserve"> </v>
      </c>
    </row>
    <row r="632" spans="24:24" x14ac:dyDescent="0.25">
      <c r="X632" s="37" t="str">
        <f>IFERROR(INDEX(tabSource[Artikel],SMALL(tabSource[Liste],COUNTIF(tabSource[Liste],"=0")+ROW(A631)-1))," ")</f>
        <v xml:space="preserve"> </v>
      </c>
    </row>
    <row r="633" spans="24:24" x14ac:dyDescent="0.25">
      <c r="X633" s="37" t="str">
        <f>IFERROR(INDEX(tabSource[Artikel],SMALL(tabSource[Liste],COUNTIF(tabSource[Liste],"=0")+ROW(A632)-1))," ")</f>
        <v xml:space="preserve"> </v>
      </c>
    </row>
    <row r="634" spans="24:24" x14ac:dyDescent="0.25">
      <c r="X634" s="37" t="str">
        <f>IFERROR(INDEX(tabSource[Artikel],SMALL(tabSource[Liste],COUNTIF(tabSource[Liste],"=0")+ROW(A633)-1))," ")</f>
        <v xml:space="preserve"> </v>
      </c>
    </row>
    <row r="635" spans="24:24" x14ac:dyDescent="0.25">
      <c r="X635" s="37" t="str">
        <f>IFERROR(INDEX(tabSource[Artikel],SMALL(tabSource[Liste],COUNTIF(tabSource[Liste],"=0")+ROW(A634)-1))," ")</f>
        <v xml:space="preserve"> </v>
      </c>
    </row>
    <row r="636" spans="24:24" x14ac:dyDescent="0.25">
      <c r="X636" s="37" t="str">
        <f>IFERROR(INDEX(tabSource[Artikel],SMALL(tabSource[Liste],COUNTIF(tabSource[Liste],"=0")+ROW(A635)-1))," ")</f>
        <v xml:space="preserve"> </v>
      </c>
    </row>
    <row r="637" spans="24:24" x14ac:dyDescent="0.25">
      <c r="X637" s="37" t="str">
        <f>IFERROR(INDEX(tabSource[Artikel],SMALL(tabSource[Liste],COUNTIF(tabSource[Liste],"=0")+ROW(A636)-1))," ")</f>
        <v xml:space="preserve"> </v>
      </c>
    </row>
    <row r="638" spans="24:24" x14ac:dyDescent="0.25">
      <c r="X638" s="37" t="str">
        <f>IFERROR(INDEX(tabSource[Artikel],SMALL(tabSource[Liste],COUNTIF(tabSource[Liste],"=0")+ROW(A637)-1))," ")</f>
        <v xml:space="preserve"> </v>
      </c>
    </row>
    <row r="639" spans="24:24" x14ac:dyDescent="0.25">
      <c r="X639" s="37" t="str">
        <f>IFERROR(INDEX(tabSource[Artikel],SMALL(tabSource[Liste],COUNTIF(tabSource[Liste],"=0")+ROW(A638)-1))," ")</f>
        <v xml:space="preserve"> </v>
      </c>
    </row>
    <row r="640" spans="24:24" x14ac:dyDescent="0.25">
      <c r="X640" s="37" t="str">
        <f>IFERROR(INDEX(tabSource[Artikel],SMALL(tabSource[Liste],COUNTIF(tabSource[Liste],"=0")+ROW(A639)-1))," ")</f>
        <v xml:space="preserve"> </v>
      </c>
    </row>
    <row r="641" spans="24:24" x14ac:dyDescent="0.25">
      <c r="X641" s="37" t="str">
        <f>IFERROR(INDEX(tabSource[Artikel],SMALL(tabSource[Liste],COUNTIF(tabSource[Liste],"=0")+ROW(A640)-1))," ")</f>
        <v xml:space="preserve"> </v>
      </c>
    </row>
    <row r="642" spans="24:24" x14ac:dyDescent="0.25">
      <c r="X642" s="37" t="str">
        <f>IFERROR(INDEX(tabSource[Artikel],SMALL(tabSource[Liste],COUNTIF(tabSource[Liste],"=0")+ROW(A641)-1))," ")</f>
        <v xml:space="preserve"> </v>
      </c>
    </row>
    <row r="643" spans="24:24" x14ac:dyDescent="0.25">
      <c r="X643" s="37" t="str">
        <f>IFERROR(INDEX(tabSource[Artikel],SMALL(tabSource[Liste],COUNTIF(tabSource[Liste],"=0")+ROW(A642)-1))," ")</f>
        <v xml:space="preserve"> </v>
      </c>
    </row>
    <row r="644" spans="24:24" x14ac:dyDescent="0.25">
      <c r="X644" s="37" t="str">
        <f>IFERROR(INDEX(tabSource[Artikel],SMALL(tabSource[Liste],COUNTIF(tabSource[Liste],"=0")+ROW(A643)-1))," ")</f>
        <v xml:space="preserve"> </v>
      </c>
    </row>
    <row r="645" spans="24:24" x14ac:dyDescent="0.25">
      <c r="X645" s="37" t="str">
        <f>IFERROR(INDEX(tabSource[Artikel],SMALL(tabSource[Liste],COUNTIF(tabSource[Liste],"=0")+ROW(A644)-1))," ")</f>
        <v xml:space="preserve"> </v>
      </c>
    </row>
    <row r="646" spans="24:24" x14ac:dyDescent="0.25">
      <c r="X646" s="37" t="str">
        <f>IFERROR(INDEX(tabSource[Artikel],SMALL(tabSource[Liste],COUNTIF(tabSource[Liste],"=0")+ROW(A645)-1))," ")</f>
        <v xml:space="preserve"> </v>
      </c>
    </row>
    <row r="647" spans="24:24" x14ac:dyDescent="0.25">
      <c r="X647" s="37" t="str">
        <f>IFERROR(INDEX(tabSource[Artikel],SMALL(tabSource[Liste],COUNTIF(tabSource[Liste],"=0")+ROW(A646)-1))," ")</f>
        <v xml:space="preserve"> </v>
      </c>
    </row>
    <row r="648" spans="24:24" x14ac:dyDescent="0.25">
      <c r="X648" s="37" t="str">
        <f>IFERROR(INDEX(tabSource[Artikel],SMALL(tabSource[Liste],COUNTIF(tabSource[Liste],"=0")+ROW(A647)-1))," ")</f>
        <v xml:space="preserve"> </v>
      </c>
    </row>
    <row r="649" spans="24:24" x14ac:dyDescent="0.25">
      <c r="X649" s="37" t="str">
        <f>IFERROR(INDEX(tabSource[Artikel],SMALL(tabSource[Liste],COUNTIF(tabSource[Liste],"=0")+ROW(A648)-1))," ")</f>
        <v xml:space="preserve"> </v>
      </c>
    </row>
    <row r="650" spans="24:24" x14ac:dyDescent="0.25">
      <c r="X650" s="37" t="str">
        <f>IFERROR(INDEX(tabSource[Artikel],SMALL(tabSource[Liste],COUNTIF(tabSource[Liste],"=0")+ROW(A649)-1))," ")</f>
        <v xml:space="preserve"> </v>
      </c>
    </row>
    <row r="651" spans="24:24" x14ac:dyDescent="0.25">
      <c r="X651" s="37" t="str">
        <f>IFERROR(INDEX(tabSource[Artikel],SMALL(tabSource[Liste],COUNTIF(tabSource[Liste],"=0")+ROW(A650)-1))," ")</f>
        <v xml:space="preserve"> </v>
      </c>
    </row>
    <row r="652" spans="24:24" x14ac:dyDescent="0.25">
      <c r="X652" s="37" t="str">
        <f>IFERROR(INDEX(tabSource[Artikel],SMALL(tabSource[Liste],COUNTIF(tabSource[Liste],"=0")+ROW(A651)-1))," ")</f>
        <v xml:space="preserve"> </v>
      </c>
    </row>
    <row r="653" spans="24:24" x14ac:dyDescent="0.25">
      <c r="X653" s="37" t="str">
        <f>IFERROR(INDEX(tabSource[Artikel],SMALL(tabSource[Liste],COUNTIF(tabSource[Liste],"=0")+ROW(A652)-1))," ")</f>
        <v xml:space="preserve"> </v>
      </c>
    </row>
    <row r="654" spans="24:24" x14ac:dyDescent="0.25">
      <c r="X654" s="37" t="str">
        <f>IFERROR(INDEX(tabSource[Artikel],SMALL(tabSource[Liste],COUNTIF(tabSource[Liste],"=0")+ROW(A653)-1))," ")</f>
        <v xml:space="preserve"> </v>
      </c>
    </row>
    <row r="655" spans="24:24" x14ac:dyDescent="0.25">
      <c r="X655" s="37" t="str">
        <f>IFERROR(INDEX(tabSource[Artikel],SMALL(tabSource[Liste],COUNTIF(tabSource[Liste],"=0")+ROW(A654)-1))," ")</f>
        <v xml:space="preserve"> </v>
      </c>
    </row>
    <row r="656" spans="24:24" x14ac:dyDescent="0.25">
      <c r="X656" s="37" t="str">
        <f>IFERROR(INDEX(tabSource[Artikel],SMALL(tabSource[Liste],COUNTIF(tabSource[Liste],"=0")+ROW(A655)-1))," ")</f>
        <v xml:space="preserve"> </v>
      </c>
    </row>
    <row r="657" spans="24:24" x14ac:dyDescent="0.25">
      <c r="X657" s="37" t="str">
        <f>IFERROR(INDEX(tabSource[Artikel],SMALL(tabSource[Liste],COUNTIF(tabSource[Liste],"=0")+ROW(A656)-1))," ")</f>
        <v xml:space="preserve"> </v>
      </c>
    </row>
    <row r="658" spans="24:24" x14ac:dyDescent="0.25">
      <c r="X658" s="37" t="str">
        <f>IFERROR(INDEX(tabSource[Artikel],SMALL(tabSource[Liste],COUNTIF(tabSource[Liste],"=0")+ROW(A657)-1))," ")</f>
        <v xml:space="preserve"> </v>
      </c>
    </row>
    <row r="659" spans="24:24" x14ac:dyDescent="0.25">
      <c r="X659" s="37" t="str">
        <f>IFERROR(INDEX(tabSource[Artikel],SMALL(tabSource[Liste],COUNTIF(tabSource[Liste],"=0")+ROW(A658)-1))," ")</f>
        <v xml:space="preserve"> </v>
      </c>
    </row>
    <row r="660" spans="24:24" x14ac:dyDescent="0.25">
      <c r="X660" s="37" t="str">
        <f>IFERROR(INDEX(tabSource[Artikel],SMALL(tabSource[Liste],COUNTIF(tabSource[Liste],"=0")+ROW(A659)-1))," ")</f>
        <v xml:space="preserve"> </v>
      </c>
    </row>
    <row r="661" spans="24:24" x14ac:dyDescent="0.25">
      <c r="X661" s="37" t="str">
        <f>IFERROR(INDEX(tabSource[Artikel],SMALL(tabSource[Liste],COUNTIF(tabSource[Liste],"=0")+ROW(A660)-1))," ")</f>
        <v xml:space="preserve"> </v>
      </c>
    </row>
    <row r="662" spans="24:24" x14ac:dyDescent="0.25">
      <c r="X662" s="37" t="str">
        <f>IFERROR(INDEX(tabSource[Artikel],SMALL(tabSource[Liste],COUNTIF(tabSource[Liste],"=0")+ROW(A661)-1))," ")</f>
        <v xml:space="preserve"> </v>
      </c>
    </row>
    <row r="663" spans="24:24" x14ac:dyDescent="0.25">
      <c r="X663" s="37" t="str">
        <f>IFERROR(INDEX(tabSource[Artikel],SMALL(tabSource[Liste],COUNTIF(tabSource[Liste],"=0")+ROW(A662)-1))," ")</f>
        <v xml:space="preserve"> </v>
      </c>
    </row>
    <row r="664" spans="24:24" x14ac:dyDescent="0.25">
      <c r="X664" s="37" t="str">
        <f>IFERROR(INDEX(tabSource[Artikel],SMALL(tabSource[Liste],COUNTIF(tabSource[Liste],"=0")+ROW(A663)-1))," ")</f>
        <v xml:space="preserve"> </v>
      </c>
    </row>
    <row r="665" spans="24:24" x14ac:dyDescent="0.25">
      <c r="X665" s="37" t="str">
        <f>IFERROR(INDEX(tabSource[Artikel],SMALL(tabSource[Liste],COUNTIF(tabSource[Liste],"=0")+ROW(A664)-1))," ")</f>
        <v xml:space="preserve"> </v>
      </c>
    </row>
    <row r="666" spans="24:24" x14ac:dyDescent="0.25">
      <c r="X666" s="37" t="str">
        <f>IFERROR(INDEX(tabSource[Artikel],SMALL(tabSource[Liste],COUNTIF(tabSource[Liste],"=0")+ROW(A665)-1))," ")</f>
        <v xml:space="preserve"> </v>
      </c>
    </row>
    <row r="667" spans="24:24" x14ac:dyDescent="0.25">
      <c r="X667" s="37" t="str">
        <f>IFERROR(INDEX(tabSource[Artikel],SMALL(tabSource[Liste],COUNTIF(tabSource[Liste],"=0")+ROW(A666)-1))," ")</f>
        <v xml:space="preserve"> </v>
      </c>
    </row>
    <row r="668" spans="24:24" x14ac:dyDescent="0.25">
      <c r="X668" s="37" t="str">
        <f>IFERROR(INDEX(tabSource[Artikel],SMALL(tabSource[Liste],COUNTIF(tabSource[Liste],"=0")+ROW(A667)-1))," ")</f>
        <v xml:space="preserve"> </v>
      </c>
    </row>
    <row r="669" spans="24:24" x14ac:dyDescent="0.25">
      <c r="X669" s="37" t="str">
        <f>IFERROR(INDEX(tabSource[Artikel],SMALL(tabSource[Liste],COUNTIF(tabSource[Liste],"=0")+ROW(A668)-1))," ")</f>
        <v xml:space="preserve"> </v>
      </c>
    </row>
    <row r="670" spans="24:24" x14ac:dyDescent="0.25">
      <c r="X670" s="37" t="str">
        <f>IFERROR(INDEX(tabSource[Artikel],SMALL(tabSource[Liste],COUNTIF(tabSource[Liste],"=0")+ROW(A669)-1))," ")</f>
        <v xml:space="preserve"> </v>
      </c>
    </row>
    <row r="671" spans="24:24" x14ac:dyDescent="0.25">
      <c r="X671" s="37" t="str">
        <f>IFERROR(INDEX(tabSource[Artikel],SMALL(tabSource[Liste],COUNTIF(tabSource[Liste],"=0")+ROW(A670)-1))," ")</f>
        <v xml:space="preserve"> </v>
      </c>
    </row>
    <row r="672" spans="24:24" x14ac:dyDescent="0.25">
      <c r="X672" s="37" t="str">
        <f>IFERROR(INDEX(tabSource[Artikel],SMALL(tabSource[Liste],COUNTIF(tabSource[Liste],"=0")+ROW(A671)-1))," ")</f>
        <v xml:space="preserve"> </v>
      </c>
    </row>
    <row r="673" spans="24:24" x14ac:dyDescent="0.25">
      <c r="X673" s="37" t="str">
        <f>IFERROR(INDEX(tabSource[Artikel],SMALL(tabSource[Liste],COUNTIF(tabSource[Liste],"=0")+ROW(A672)-1))," ")</f>
        <v xml:space="preserve"> </v>
      </c>
    </row>
    <row r="674" spans="24:24" x14ac:dyDescent="0.25">
      <c r="X674" s="37" t="str">
        <f>IFERROR(INDEX(tabSource[Artikel],SMALL(tabSource[Liste],COUNTIF(tabSource[Liste],"=0")+ROW(A673)-1))," ")</f>
        <v xml:space="preserve"> </v>
      </c>
    </row>
    <row r="675" spans="24:24" x14ac:dyDescent="0.25">
      <c r="X675" s="37" t="str">
        <f>IFERROR(INDEX(tabSource[Artikel],SMALL(tabSource[Liste],COUNTIF(tabSource[Liste],"=0")+ROW(A674)-1))," ")</f>
        <v xml:space="preserve"> </v>
      </c>
    </row>
    <row r="676" spans="24:24" x14ac:dyDescent="0.25">
      <c r="X676" s="37" t="str">
        <f>IFERROR(INDEX(tabSource[Artikel],SMALL(tabSource[Liste],COUNTIF(tabSource[Liste],"=0")+ROW(A675)-1))," ")</f>
        <v xml:space="preserve"> </v>
      </c>
    </row>
    <row r="677" spans="24:24" x14ac:dyDescent="0.25">
      <c r="X677" s="37" t="str">
        <f>IFERROR(INDEX(tabSource[Artikel],SMALL(tabSource[Liste],COUNTIF(tabSource[Liste],"=0")+ROW(A676)-1))," ")</f>
        <v xml:space="preserve"> </v>
      </c>
    </row>
    <row r="678" spans="24:24" x14ac:dyDescent="0.25">
      <c r="X678" s="37" t="str">
        <f>IFERROR(INDEX(tabSource[Artikel],SMALL(tabSource[Liste],COUNTIF(tabSource[Liste],"=0")+ROW(A677)-1))," ")</f>
        <v xml:space="preserve"> </v>
      </c>
    </row>
    <row r="679" spans="24:24" x14ac:dyDescent="0.25">
      <c r="X679" s="37" t="str">
        <f>IFERROR(INDEX(tabSource[Artikel],SMALL(tabSource[Liste],COUNTIF(tabSource[Liste],"=0")+ROW(A678)-1))," ")</f>
        <v xml:space="preserve"> </v>
      </c>
    </row>
    <row r="680" spans="24:24" x14ac:dyDescent="0.25">
      <c r="X680" s="37" t="str">
        <f>IFERROR(INDEX(tabSource[Artikel],SMALL(tabSource[Liste],COUNTIF(tabSource[Liste],"=0")+ROW(A679)-1))," ")</f>
        <v xml:space="preserve"> </v>
      </c>
    </row>
    <row r="681" spans="24:24" x14ac:dyDescent="0.25">
      <c r="X681" s="37" t="str">
        <f>IFERROR(INDEX(tabSource[Artikel],SMALL(tabSource[Liste],COUNTIF(tabSource[Liste],"=0")+ROW(A680)-1))," ")</f>
        <v xml:space="preserve"> </v>
      </c>
    </row>
    <row r="682" spans="24:24" x14ac:dyDescent="0.25">
      <c r="X682" s="37" t="str">
        <f>IFERROR(INDEX(tabSource[Artikel],SMALL(tabSource[Liste],COUNTIF(tabSource[Liste],"=0")+ROW(A681)-1))," ")</f>
        <v xml:space="preserve"> </v>
      </c>
    </row>
    <row r="683" spans="24:24" x14ac:dyDescent="0.25">
      <c r="X683" s="37" t="str">
        <f>IFERROR(INDEX(tabSource[Artikel],SMALL(tabSource[Liste],COUNTIF(tabSource[Liste],"=0")+ROW(A682)-1))," ")</f>
        <v xml:space="preserve"> </v>
      </c>
    </row>
    <row r="684" spans="24:24" x14ac:dyDescent="0.25">
      <c r="X684" s="37" t="str">
        <f>IFERROR(INDEX(tabSource[Artikel],SMALL(tabSource[Liste],COUNTIF(tabSource[Liste],"=0")+ROW(A683)-1))," ")</f>
        <v xml:space="preserve"> </v>
      </c>
    </row>
    <row r="685" spans="24:24" x14ac:dyDescent="0.25">
      <c r="X685" s="37" t="str">
        <f>IFERROR(INDEX(tabSource[Artikel],SMALL(tabSource[Liste],COUNTIF(tabSource[Liste],"=0")+ROW(A684)-1))," ")</f>
        <v xml:space="preserve"> </v>
      </c>
    </row>
    <row r="686" spans="24:24" x14ac:dyDescent="0.25">
      <c r="X686" s="37" t="str">
        <f>IFERROR(INDEX(tabSource[Artikel],SMALL(tabSource[Liste],COUNTIF(tabSource[Liste],"=0")+ROW(A685)-1))," ")</f>
        <v xml:space="preserve"> </v>
      </c>
    </row>
    <row r="687" spans="24:24" x14ac:dyDescent="0.25">
      <c r="X687" s="37" t="str">
        <f>IFERROR(INDEX(tabSource[Artikel],SMALL(tabSource[Liste],COUNTIF(tabSource[Liste],"=0")+ROW(A686)-1))," ")</f>
        <v xml:space="preserve"> </v>
      </c>
    </row>
    <row r="688" spans="24:24" x14ac:dyDescent="0.25">
      <c r="X688" s="37" t="str">
        <f>IFERROR(INDEX(tabSource[Artikel],SMALL(tabSource[Liste],COUNTIF(tabSource[Liste],"=0")+ROW(A687)-1))," ")</f>
        <v xml:space="preserve"> </v>
      </c>
    </row>
    <row r="689" spans="24:24" x14ac:dyDescent="0.25">
      <c r="X689" s="37" t="str">
        <f>IFERROR(INDEX(tabSource[Artikel],SMALL(tabSource[Liste],COUNTIF(tabSource[Liste],"=0")+ROW(A688)-1))," ")</f>
        <v xml:space="preserve"> </v>
      </c>
    </row>
    <row r="690" spans="24:24" x14ac:dyDescent="0.25">
      <c r="X690" s="37" t="str">
        <f>IFERROR(INDEX(tabSource[Artikel],SMALL(tabSource[Liste],COUNTIF(tabSource[Liste],"=0")+ROW(A689)-1))," ")</f>
        <v xml:space="preserve"> </v>
      </c>
    </row>
    <row r="691" spans="24:24" x14ac:dyDescent="0.25">
      <c r="X691" s="37" t="str">
        <f>IFERROR(INDEX(tabSource[Artikel],SMALL(tabSource[Liste],COUNTIF(tabSource[Liste],"=0")+ROW(A690)-1))," ")</f>
        <v xml:space="preserve"> </v>
      </c>
    </row>
    <row r="692" spans="24:24" x14ac:dyDescent="0.25">
      <c r="X692" s="37" t="str">
        <f>IFERROR(INDEX(tabSource[Artikel],SMALL(tabSource[Liste],COUNTIF(tabSource[Liste],"=0")+ROW(A691)-1))," ")</f>
        <v xml:space="preserve"> </v>
      </c>
    </row>
    <row r="693" spans="24:24" x14ac:dyDescent="0.25">
      <c r="X693" s="37" t="str">
        <f>IFERROR(INDEX(tabSource[Artikel],SMALL(tabSource[Liste],COUNTIF(tabSource[Liste],"=0")+ROW(A692)-1))," ")</f>
        <v xml:space="preserve"> </v>
      </c>
    </row>
    <row r="694" spans="24:24" x14ac:dyDescent="0.25">
      <c r="X694" s="37" t="str">
        <f>IFERROR(INDEX(tabSource[Artikel],SMALL(tabSource[Liste],COUNTIF(tabSource[Liste],"=0")+ROW(A693)-1))," ")</f>
        <v xml:space="preserve"> </v>
      </c>
    </row>
    <row r="695" spans="24:24" x14ac:dyDescent="0.25">
      <c r="X695" s="37" t="str">
        <f>IFERROR(INDEX(tabSource[Artikel],SMALL(tabSource[Liste],COUNTIF(tabSource[Liste],"=0")+ROW(A694)-1))," ")</f>
        <v xml:space="preserve"> </v>
      </c>
    </row>
    <row r="696" spans="24:24" x14ac:dyDescent="0.25">
      <c r="X696" s="37" t="str">
        <f>IFERROR(INDEX(tabSource[Artikel],SMALL(tabSource[Liste],COUNTIF(tabSource[Liste],"=0")+ROW(A695)-1))," ")</f>
        <v xml:space="preserve"> </v>
      </c>
    </row>
    <row r="697" spans="24:24" x14ac:dyDescent="0.25">
      <c r="X697" s="37" t="str">
        <f>IFERROR(INDEX(tabSource[Artikel],SMALL(tabSource[Liste],COUNTIF(tabSource[Liste],"=0")+ROW(A696)-1))," ")</f>
        <v xml:space="preserve"> </v>
      </c>
    </row>
    <row r="698" spans="24:24" x14ac:dyDescent="0.25">
      <c r="X698" s="37" t="str">
        <f>IFERROR(INDEX(tabSource[Artikel],SMALL(tabSource[Liste],COUNTIF(tabSource[Liste],"=0")+ROW(A697)-1))," ")</f>
        <v xml:space="preserve"> </v>
      </c>
    </row>
    <row r="699" spans="24:24" x14ac:dyDescent="0.25">
      <c r="X699" s="37" t="str">
        <f>IFERROR(INDEX(tabSource[Artikel],SMALL(tabSource[Liste],COUNTIF(tabSource[Liste],"=0")+ROW(A698)-1))," ")</f>
        <v xml:space="preserve"> </v>
      </c>
    </row>
    <row r="700" spans="24:24" x14ac:dyDescent="0.25">
      <c r="X700" s="37" t="str">
        <f>IFERROR(INDEX(tabSource[Artikel],SMALL(tabSource[Liste],COUNTIF(tabSource[Liste],"=0")+ROW(A699)-1))," ")</f>
        <v xml:space="preserve"> </v>
      </c>
    </row>
    <row r="701" spans="24:24" x14ac:dyDescent="0.25">
      <c r="X701" s="37" t="str">
        <f>IFERROR(INDEX(tabSource[Artikel],SMALL(tabSource[Liste],COUNTIF(tabSource[Liste],"=0")+ROW(A700)-1))," ")</f>
        <v xml:space="preserve"> </v>
      </c>
    </row>
    <row r="702" spans="24:24" x14ac:dyDescent="0.25">
      <c r="X702" s="37" t="str">
        <f>IFERROR(INDEX(tabSource[Artikel],SMALL(tabSource[Liste],COUNTIF(tabSource[Liste],"=0")+ROW(A701)-1))," ")</f>
        <v xml:space="preserve"> </v>
      </c>
    </row>
    <row r="703" spans="24:24" x14ac:dyDescent="0.25">
      <c r="X703" s="37" t="str">
        <f>IFERROR(INDEX(tabSource[Artikel],SMALL(tabSource[Liste],COUNTIF(tabSource[Liste],"=0")+ROW(A702)-1))," ")</f>
        <v xml:space="preserve"> </v>
      </c>
    </row>
    <row r="704" spans="24:24" x14ac:dyDescent="0.25">
      <c r="X704" s="37" t="str">
        <f>IFERROR(INDEX(tabSource[Artikel],SMALL(tabSource[Liste],COUNTIF(tabSource[Liste],"=0")+ROW(A703)-1))," ")</f>
        <v xml:space="preserve"> </v>
      </c>
    </row>
    <row r="705" spans="24:24" x14ac:dyDescent="0.25">
      <c r="X705" s="37" t="str">
        <f>IFERROR(INDEX(tabSource[Artikel],SMALL(tabSource[Liste],COUNTIF(tabSource[Liste],"=0")+ROW(A704)-1))," ")</f>
        <v xml:space="preserve"> </v>
      </c>
    </row>
    <row r="706" spans="24:24" x14ac:dyDescent="0.25">
      <c r="X706" s="37" t="str">
        <f>IFERROR(INDEX(tabSource[Artikel],SMALL(tabSource[Liste],COUNTIF(tabSource[Liste],"=0")+ROW(A705)-1))," ")</f>
        <v xml:space="preserve"> </v>
      </c>
    </row>
    <row r="707" spans="24:24" x14ac:dyDescent="0.25">
      <c r="X707" s="37" t="str">
        <f>IFERROR(INDEX(tabSource[Artikel],SMALL(tabSource[Liste],COUNTIF(tabSource[Liste],"=0")+ROW(A706)-1))," ")</f>
        <v xml:space="preserve"> </v>
      </c>
    </row>
    <row r="708" spans="24:24" x14ac:dyDescent="0.25">
      <c r="X708" s="37" t="str">
        <f>IFERROR(INDEX(tabSource[Artikel],SMALL(tabSource[Liste],COUNTIF(tabSource[Liste],"=0")+ROW(A707)-1))," ")</f>
        <v xml:space="preserve"> </v>
      </c>
    </row>
    <row r="709" spans="24:24" x14ac:dyDescent="0.25">
      <c r="X709" s="37" t="str">
        <f>IFERROR(INDEX(tabSource[Artikel],SMALL(tabSource[Liste],COUNTIF(tabSource[Liste],"=0")+ROW(A708)-1))," ")</f>
        <v xml:space="preserve"> </v>
      </c>
    </row>
    <row r="710" spans="24:24" x14ac:dyDescent="0.25">
      <c r="X710" s="37" t="str">
        <f>IFERROR(INDEX(tabSource[Artikel],SMALL(tabSource[Liste],COUNTIF(tabSource[Liste],"=0")+ROW(A709)-1))," ")</f>
        <v xml:space="preserve"> </v>
      </c>
    </row>
    <row r="711" spans="24:24" x14ac:dyDescent="0.25">
      <c r="X711" s="37" t="str">
        <f>IFERROR(INDEX(tabSource[Artikel],SMALL(tabSource[Liste],COUNTIF(tabSource[Liste],"=0")+ROW(A710)-1))," ")</f>
        <v xml:space="preserve"> </v>
      </c>
    </row>
    <row r="712" spans="24:24" x14ac:dyDescent="0.25">
      <c r="X712" s="37" t="str">
        <f>IFERROR(INDEX(tabSource[Artikel],SMALL(tabSource[Liste],COUNTIF(tabSource[Liste],"=0")+ROW(A711)-1))," ")</f>
        <v xml:space="preserve"> </v>
      </c>
    </row>
    <row r="713" spans="24:24" x14ac:dyDescent="0.25">
      <c r="X713" s="37" t="str">
        <f>IFERROR(INDEX(tabSource[Artikel],SMALL(tabSource[Liste],COUNTIF(tabSource[Liste],"=0")+ROW(A712)-1))," ")</f>
        <v xml:space="preserve"> </v>
      </c>
    </row>
    <row r="714" spans="24:24" x14ac:dyDescent="0.25">
      <c r="X714" s="37" t="str">
        <f>IFERROR(INDEX(tabSource[Artikel],SMALL(tabSource[Liste],COUNTIF(tabSource[Liste],"=0")+ROW(A713)-1))," ")</f>
        <v xml:space="preserve"> </v>
      </c>
    </row>
    <row r="715" spans="24:24" x14ac:dyDescent="0.25">
      <c r="X715" s="37" t="str">
        <f>IFERROR(INDEX(tabSource[Artikel],SMALL(tabSource[Liste],COUNTIF(tabSource[Liste],"=0")+ROW(A714)-1))," ")</f>
        <v xml:space="preserve"> </v>
      </c>
    </row>
    <row r="716" spans="24:24" x14ac:dyDescent="0.25">
      <c r="X716" s="37" t="str">
        <f>IFERROR(INDEX(tabSource[Artikel],SMALL(tabSource[Liste],COUNTIF(tabSource[Liste],"=0")+ROW(A715)-1))," ")</f>
        <v xml:space="preserve"> </v>
      </c>
    </row>
    <row r="717" spans="24:24" x14ac:dyDescent="0.25">
      <c r="X717" s="37" t="str">
        <f>IFERROR(INDEX(tabSource[Artikel],SMALL(tabSource[Liste],COUNTIF(tabSource[Liste],"=0")+ROW(A716)-1))," ")</f>
        <v xml:space="preserve"> </v>
      </c>
    </row>
    <row r="718" spans="24:24" x14ac:dyDescent="0.25">
      <c r="X718" s="37" t="str">
        <f>IFERROR(INDEX(tabSource[Artikel],SMALL(tabSource[Liste],COUNTIF(tabSource[Liste],"=0")+ROW(A717)-1))," ")</f>
        <v xml:space="preserve"> </v>
      </c>
    </row>
    <row r="719" spans="24:24" x14ac:dyDescent="0.25">
      <c r="X719" s="37" t="str">
        <f>IFERROR(INDEX(tabSource[Artikel],SMALL(tabSource[Liste],COUNTIF(tabSource[Liste],"=0")+ROW(A718)-1))," ")</f>
        <v xml:space="preserve"> </v>
      </c>
    </row>
    <row r="720" spans="24:24" x14ac:dyDescent="0.25">
      <c r="X720" s="37" t="str">
        <f>IFERROR(INDEX(tabSource[Artikel],SMALL(tabSource[Liste],COUNTIF(tabSource[Liste],"=0")+ROW(A719)-1))," ")</f>
        <v xml:space="preserve"> </v>
      </c>
    </row>
    <row r="721" spans="24:24" x14ac:dyDescent="0.25">
      <c r="X721" s="37" t="str">
        <f>IFERROR(INDEX(tabSource[Artikel],SMALL(tabSource[Liste],COUNTIF(tabSource[Liste],"=0")+ROW(A720)-1))," ")</f>
        <v xml:space="preserve"> </v>
      </c>
    </row>
    <row r="722" spans="24:24" x14ac:dyDescent="0.25">
      <c r="X722" s="37" t="str">
        <f>IFERROR(INDEX(tabSource[Artikel],SMALL(tabSource[Liste],COUNTIF(tabSource[Liste],"=0")+ROW(A721)-1))," ")</f>
        <v xml:space="preserve"> </v>
      </c>
    </row>
    <row r="723" spans="24:24" x14ac:dyDescent="0.25">
      <c r="X723" s="37" t="str">
        <f>IFERROR(INDEX(tabSource[Artikel],SMALL(tabSource[Liste],COUNTIF(tabSource[Liste],"=0")+ROW(A722)-1))," ")</f>
        <v xml:space="preserve"> </v>
      </c>
    </row>
    <row r="724" spans="24:24" x14ac:dyDescent="0.25">
      <c r="X724" s="37" t="str">
        <f>IFERROR(INDEX(tabSource[Artikel],SMALL(tabSource[Liste],COUNTIF(tabSource[Liste],"=0")+ROW(A723)-1))," ")</f>
        <v xml:space="preserve"> </v>
      </c>
    </row>
    <row r="725" spans="24:24" x14ac:dyDescent="0.25">
      <c r="X725" s="37" t="str">
        <f>IFERROR(INDEX(tabSource[Artikel],SMALL(tabSource[Liste],COUNTIF(tabSource[Liste],"=0")+ROW(A724)-1))," ")</f>
        <v xml:space="preserve"> </v>
      </c>
    </row>
    <row r="726" spans="24:24" x14ac:dyDescent="0.25">
      <c r="X726" s="37" t="str">
        <f>IFERROR(INDEX(tabSource[Artikel],SMALL(tabSource[Liste],COUNTIF(tabSource[Liste],"=0")+ROW(A725)-1))," ")</f>
        <v xml:space="preserve"> </v>
      </c>
    </row>
    <row r="727" spans="24:24" x14ac:dyDescent="0.25">
      <c r="X727" s="37" t="str">
        <f>IFERROR(INDEX(tabSource[Artikel],SMALL(tabSource[Liste],COUNTIF(tabSource[Liste],"=0")+ROW(A726)-1))," ")</f>
        <v xml:space="preserve"> </v>
      </c>
    </row>
    <row r="728" spans="24:24" x14ac:dyDescent="0.25">
      <c r="X728" s="37" t="str">
        <f>IFERROR(INDEX(tabSource[Artikel],SMALL(tabSource[Liste],COUNTIF(tabSource[Liste],"=0")+ROW(A727)-1))," ")</f>
        <v xml:space="preserve"> </v>
      </c>
    </row>
    <row r="729" spans="24:24" x14ac:dyDescent="0.25">
      <c r="X729" s="37" t="str">
        <f>IFERROR(INDEX(tabSource[Artikel],SMALL(tabSource[Liste],COUNTIF(tabSource[Liste],"=0")+ROW(A728)-1))," ")</f>
        <v xml:space="preserve"> </v>
      </c>
    </row>
    <row r="730" spans="24:24" x14ac:dyDescent="0.25">
      <c r="X730" s="37" t="str">
        <f>IFERROR(INDEX(tabSource[Artikel],SMALL(tabSource[Liste],COUNTIF(tabSource[Liste],"=0")+ROW(A729)-1))," ")</f>
        <v xml:space="preserve"> </v>
      </c>
    </row>
    <row r="731" spans="24:24" x14ac:dyDescent="0.25">
      <c r="X731" s="37" t="str">
        <f>IFERROR(INDEX(tabSource[Artikel],SMALL(tabSource[Liste],COUNTIF(tabSource[Liste],"=0")+ROW(A730)-1))," ")</f>
        <v xml:space="preserve"> </v>
      </c>
    </row>
    <row r="732" spans="24:24" x14ac:dyDescent="0.25">
      <c r="X732" s="37" t="str">
        <f>IFERROR(INDEX(tabSource[Artikel],SMALL(tabSource[Liste],COUNTIF(tabSource[Liste],"=0")+ROW(A731)-1))," ")</f>
        <v xml:space="preserve"> </v>
      </c>
    </row>
    <row r="733" spans="24:24" x14ac:dyDescent="0.25">
      <c r="X733" s="37" t="str">
        <f>IFERROR(INDEX(tabSource[Artikel],SMALL(tabSource[Liste],COUNTIF(tabSource[Liste],"=0")+ROW(A732)-1))," ")</f>
        <v xml:space="preserve"> </v>
      </c>
    </row>
    <row r="734" spans="24:24" x14ac:dyDescent="0.25">
      <c r="X734" s="37" t="str">
        <f>IFERROR(INDEX(tabSource[Artikel],SMALL(tabSource[Liste],COUNTIF(tabSource[Liste],"=0")+ROW(A733)-1))," ")</f>
        <v xml:space="preserve"> </v>
      </c>
    </row>
    <row r="735" spans="24:24" x14ac:dyDescent="0.25">
      <c r="X735" s="37" t="str">
        <f>IFERROR(INDEX(tabSource[Artikel],SMALL(tabSource[Liste],COUNTIF(tabSource[Liste],"=0")+ROW(A734)-1))," ")</f>
        <v xml:space="preserve"> </v>
      </c>
    </row>
    <row r="736" spans="24:24" x14ac:dyDescent="0.25">
      <c r="X736" s="37" t="str">
        <f>IFERROR(INDEX(tabSource[Artikel],SMALL(tabSource[Liste],COUNTIF(tabSource[Liste],"=0")+ROW(A735)-1))," ")</f>
        <v xml:space="preserve"> </v>
      </c>
    </row>
    <row r="737" spans="24:24" x14ac:dyDescent="0.25">
      <c r="X737" s="37" t="str">
        <f>IFERROR(INDEX(tabSource[Artikel],SMALL(tabSource[Liste],COUNTIF(tabSource[Liste],"=0")+ROW(A736)-1))," ")</f>
        <v xml:space="preserve"> </v>
      </c>
    </row>
    <row r="738" spans="24:24" x14ac:dyDescent="0.25">
      <c r="X738" s="37" t="str">
        <f>IFERROR(INDEX(tabSource[Artikel],SMALL(tabSource[Liste],COUNTIF(tabSource[Liste],"=0")+ROW(A737)-1))," ")</f>
        <v xml:space="preserve"> </v>
      </c>
    </row>
    <row r="739" spans="24:24" x14ac:dyDescent="0.25">
      <c r="X739" s="37" t="str">
        <f>IFERROR(INDEX(tabSource[Artikel],SMALL(tabSource[Liste],COUNTIF(tabSource[Liste],"=0")+ROW(A738)-1))," ")</f>
        <v xml:space="preserve"> </v>
      </c>
    </row>
    <row r="740" spans="24:24" x14ac:dyDescent="0.25">
      <c r="X740" s="37" t="str">
        <f>IFERROR(INDEX(tabSource[Artikel],SMALL(tabSource[Liste],COUNTIF(tabSource[Liste],"=0")+ROW(A739)-1))," ")</f>
        <v xml:space="preserve"> </v>
      </c>
    </row>
    <row r="741" spans="24:24" x14ac:dyDescent="0.25">
      <c r="X741" s="37" t="str">
        <f>IFERROR(INDEX(tabSource[Artikel],SMALL(tabSource[Liste],COUNTIF(tabSource[Liste],"=0")+ROW(A740)-1))," ")</f>
        <v xml:space="preserve"> </v>
      </c>
    </row>
    <row r="742" spans="24:24" x14ac:dyDescent="0.25">
      <c r="X742" s="37" t="str">
        <f>IFERROR(INDEX(tabSource[Artikel],SMALL(tabSource[Liste],COUNTIF(tabSource[Liste],"=0")+ROW(A741)-1))," ")</f>
        <v xml:space="preserve"> </v>
      </c>
    </row>
    <row r="743" spans="24:24" x14ac:dyDescent="0.25">
      <c r="X743" s="37" t="str">
        <f>IFERROR(INDEX(tabSource[Artikel],SMALL(tabSource[Liste],COUNTIF(tabSource[Liste],"=0")+ROW(A742)-1))," ")</f>
        <v xml:space="preserve"> </v>
      </c>
    </row>
    <row r="744" spans="24:24" x14ac:dyDescent="0.25">
      <c r="X744" s="37" t="str">
        <f>IFERROR(INDEX(tabSource[Artikel],SMALL(tabSource[Liste],COUNTIF(tabSource[Liste],"=0")+ROW(A743)-1))," ")</f>
        <v xml:space="preserve"> </v>
      </c>
    </row>
    <row r="745" spans="24:24" x14ac:dyDescent="0.25">
      <c r="X745" s="37" t="str">
        <f>IFERROR(INDEX(tabSource[Artikel],SMALL(tabSource[Liste],COUNTIF(tabSource[Liste],"=0")+ROW(A744)-1))," ")</f>
        <v xml:space="preserve"> </v>
      </c>
    </row>
    <row r="746" spans="24:24" x14ac:dyDescent="0.25">
      <c r="X746" s="37" t="str">
        <f>IFERROR(INDEX(tabSource[Artikel],SMALL(tabSource[Liste],COUNTIF(tabSource[Liste],"=0")+ROW(A745)-1))," ")</f>
        <v xml:space="preserve"> </v>
      </c>
    </row>
    <row r="747" spans="24:24" x14ac:dyDescent="0.25">
      <c r="X747" s="37" t="str">
        <f>IFERROR(INDEX(tabSource[Artikel],SMALL(tabSource[Liste],COUNTIF(tabSource[Liste],"=0")+ROW(A746)-1))," ")</f>
        <v xml:space="preserve"> </v>
      </c>
    </row>
    <row r="748" spans="24:24" x14ac:dyDescent="0.25">
      <c r="X748" s="37" t="str">
        <f>IFERROR(INDEX(tabSource[Artikel],SMALL(tabSource[Liste],COUNTIF(tabSource[Liste],"=0")+ROW(A747)-1))," ")</f>
        <v xml:space="preserve"> </v>
      </c>
    </row>
    <row r="749" spans="24:24" x14ac:dyDescent="0.25">
      <c r="X749" s="37" t="str">
        <f>IFERROR(INDEX(tabSource[Artikel],SMALL(tabSource[Liste],COUNTIF(tabSource[Liste],"=0")+ROW(A748)-1))," ")</f>
        <v xml:space="preserve"> </v>
      </c>
    </row>
    <row r="750" spans="24:24" x14ac:dyDescent="0.25">
      <c r="X750" s="37" t="str">
        <f>IFERROR(INDEX(tabSource[Artikel],SMALL(tabSource[Liste],COUNTIF(tabSource[Liste],"=0")+ROW(A749)-1))," ")</f>
        <v xml:space="preserve"> </v>
      </c>
    </row>
    <row r="751" spans="24:24" x14ac:dyDescent="0.25">
      <c r="X751" s="37" t="str">
        <f>IFERROR(INDEX(tabSource[Artikel],SMALL(tabSource[Liste],COUNTIF(tabSource[Liste],"=0")+ROW(A750)-1))," ")</f>
        <v xml:space="preserve"> </v>
      </c>
    </row>
    <row r="752" spans="24:24" x14ac:dyDescent="0.25">
      <c r="X752" s="37" t="str">
        <f>IFERROR(INDEX(tabSource[Artikel],SMALL(tabSource[Liste],COUNTIF(tabSource[Liste],"=0")+ROW(A751)-1))," ")</f>
        <v xml:space="preserve"> </v>
      </c>
    </row>
    <row r="753" spans="24:24" x14ac:dyDescent="0.25">
      <c r="X753" s="37" t="str">
        <f>IFERROR(INDEX(tabSource[Artikel],SMALL(tabSource[Liste],COUNTIF(tabSource[Liste],"=0")+ROW(A752)-1))," ")</f>
        <v xml:space="preserve"> </v>
      </c>
    </row>
    <row r="754" spans="24:24" x14ac:dyDescent="0.25">
      <c r="X754" s="37" t="str">
        <f>IFERROR(INDEX(tabSource[Artikel],SMALL(tabSource[Liste],COUNTIF(tabSource[Liste],"=0")+ROW(A753)-1))," ")</f>
        <v xml:space="preserve"> </v>
      </c>
    </row>
    <row r="755" spans="24:24" x14ac:dyDescent="0.25">
      <c r="X755" s="37" t="str">
        <f>IFERROR(INDEX(tabSource[Artikel],SMALL(tabSource[Liste],COUNTIF(tabSource[Liste],"=0")+ROW(A754)-1))," ")</f>
        <v xml:space="preserve"> </v>
      </c>
    </row>
    <row r="756" spans="24:24" x14ac:dyDescent="0.25">
      <c r="X756" s="37" t="str">
        <f>IFERROR(INDEX(tabSource[Artikel],SMALL(tabSource[Liste],COUNTIF(tabSource[Liste],"=0")+ROW(A755)-1))," ")</f>
        <v xml:space="preserve"> </v>
      </c>
    </row>
    <row r="757" spans="24:24" x14ac:dyDescent="0.25">
      <c r="X757" s="37" t="str">
        <f>IFERROR(INDEX(tabSource[Artikel],SMALL(tabSource[Liste],COUNTIF(tabSource[Liste],"=0")+ROW(A756)-1))," ")</f>
        <v xml:space="preserve"> </v>
      </c>
    </row>
    <row r="758" spans="24:24" x14ac:dyDescent="0.25">
      <c r="X758" s="37" t="str">
        <f>IFERROR(INDEX(tabSource[Artikel],SMALL(tabSource[Liste],COUNTIF(tabSource[Liste],"=0")+ROW(A757)-1))," ")</f>
        <v xml:space="preserve"> </v>
      </c>
    </row>
    <row r="759" spans="24:24" x14ac:dyDescent="0.25">
      <c r="X759" s="37" t="str">
        <f>IFERROR(INDEX(tabSource[Artikel],SMALL(tabSource[Liste],COUNTIF(tabSource[Liste],"=0")+ROW(A758)-1))," ")</f>
        <v xml:space="preserve"> </v>
      </c>
    </row>
    <row r="760" spans="24:24" x14ac:dyDescent="0.25">
      <c r="X760" s="37" t="str">
        <f>IFERROR(INDEX(tabSource[Artikel],SMALL(tabSource[Liste],COUNTIF(tabSource[Liste],"=0")+ROW(A759)-1))," ")</f>
        <v xml:space="preserve"> </v>
      </c>
    </row>
    <row r="761" spans="24:24" x14ac:dyDescent="0.25">
      <c r="X761" s="37" t="str">
        <f>IFERROR(INDEX(tabSource[Artikel],SMALL(tabSource[Liste],COUNTIF(tabSource[Liste],"=0")+ROW(A760)-1))," ")</f>
        <v xml:space="preserve"> </v>
      </c>
    </row>
    <row r="762" spans="24:24" x14ac:dyDescent="0.25">
      <c r="X762" s="37" t="str">
        <f>IFERROR(INDEX(tabSource[Artikel],SMALL(tabSource[Liste],COUNTIF(tabSource[Liste],"=0")+ROW(A761)-1))," ")</f>
        <v xml:space="preserve"> </v>
      </c>
    </row>
    <row r="763" spans="24:24" x14ac:dyDescent="0.25">
      <c r="X763" s="37" t="str">
        <f>IFERROR(INDEX(tabSource[Artikel],SMALL(tabSource[Liste],COUNTIF(tabSource[Liste],"=0")+ROW(A762)-1))," ")</f>
        <v xml:space="preserve"> </v>
      </c>
    </row>
    <row r="764" spans="24:24" x14ac:dyDescent="0.25">
      <c r="X764" s="37" t="str">
        <f>IFERROR(INDEX(tabSource[Artikel],SMALL(tabSource[Liste],COUNTIF(tabSource[Liste],"=0")+ROW(A763)-1))," ")</f>
        <v xml:space="preserve"> </v>
      </c>
    </row>
    <row r="765" spans="24:24" x14ac:dyDescent="0.25">
      <c r="X765" s="37" t="str">
        <f>IFERROR(INDEX(tabSource[Artikel],SMALL(tabSource[Liste],COUNTIF(tabSource[Liste],"=0")+ROW(A764)-1))," ")</f>
        <v xml:space="preserve"> </v>
      </c>
    </row>
    <row r="766" spans="24:24" x14ac:dyDescent="0.25">
      <c r="X766" s="37" t="str">
        <f>IFERROR(INDEX(tabSource[Artikel],SMALL(tabSource[Liste],COUNTIF(tabSource[Liste],"=0")+ROW(A765)-1))," ")</f>
        <v xml:space="preserve"> </v>
      </c>
    </row>
    <row r="767" spans="24:24" x14ac:dyDescent="0.25">
      <c r="X767" s="37" t="str">
        <f>IFERROR(INDEX(tabSource[Artikel],SMALL(tabSource[Liste],COUNTIF(tabSource[Liste],"=0")+ROW(A766)-1))," ")</f>
        <v xml:space="preserve"> </v>
      </c>
    </row>
    <row r="768" spans="24:24" x14ac:dyDescent="0.25">
      <c r="X768" s="37" t="str">
        <f>IFERROR(INDEX(tabSource[Artikel],SMALL(tabSource[Liste],COUNTIF(tabSource[Liste],"=0")+ROW(A767)-1))," ")</f>
        <v xml:space="preserve"> </v>
      </c>
    </row>
    <row r="769" spans="24:24" x14ac:dyDescent="0.25">
      <c r="X769" s="37" t="str">
        <f>IFERROR(INDEX(tabSource[Artikel],SMALL(tabSource[Liste],COUNTIF(tabSource[Liste],"=0")+ROW(A768)-1))," ")</f>
        <v xml:space="preserve"> </v>
      </c>
    </row>
    <row r="770" spans="24:24" x14ac:dyDescent="0.25">
      <c r="X770" s="37" t="str">
        <f>IFERROR(INDEX(tabSource[Artikel],SMALL(tabSource[Liste],COUNTIF(tabSource[Liste],"=0")+ROW(A769)-1))," ")</f>
        <v xml:space="preserve"> </v>
      </c>
    </row>
    <row r="771" spans="24:24" x14ac:dyDescent="0.25">
      <c r="X771" s="37" t="str">
        <f>IFERROR(INDEX(tabSource[Artikel],SMALL(tabSource[Liste],COUNTIF(tabSource[Liste],"=0")+ROW(A770)-1))," ")</f>
        <v xml:space="preserve"> </v>
      </c>
    </row>
    <row r="772" spans="24:24" x14ac:dyDescent="0.25">
      <c r="X772" s="37" t="str">
        <f>IFERROR(INDEX(tabSource[Artikel],SMALL(tabSource[Liste],COUNTIF(tabSource[Liste],"=0")+ROW(A771)-1))," ")</f>
        <v xml:space="preserve"> </v>
      </c>
    </row>
    <row r="773" spans="24:24" x14ac:dyDescent="0.25">
      <c r="X773" s="37" t="str">
        <f>IFERROR(INDEX(tabSource[Artikel],SMALL(tabSource[Liste],COUNTIF(tabSource[Liste],"=0")+ROW(A772)-1))," ")</f>
        <v xml:space="preserve"> </v>
      </c>
    </row>
    <row r="774" spans="24:24" x14ac:dyDescent="0.25">
      <c r="X774" s="37" t="str">
        <f>IFERROR(INDEX(tabSource[Artikel],SMALL(tabSource[Liste],COUNTIF(tabSource[Liste],"=0")+ROW(A773)-1))," ")</f>
        <v xml:space="preserve"> </v>
      </c>
    </row>
    <row r="775" spans="24:24" x14ac:dyDescent="0.25">
      <c r="X775" s="37" t="str">
        <f>IFERROR(INDEX(tabSource[Artikel],SMALL(tabSource[Liste],COUNTIF(tabSource[Liste],"=0")+ROW(A774)-1))," ")</f>
        <v xml:space="preserve"> </v>
      </c>
    </row>
    <row r="776" spans="24:24" x14ac:dyDescent="0.25">
      <c r="X776" s="37" t="str">
        <f>IFERROR(INDEX(tabSource[Artikel],SMALL(tabSource[Liste],COUNTIF(tabSource[Liste],"=0")+ROW(A775)-1))," ")</f>
        <v xml:space="preserve"> </v>
      </c>
    </row>
    <row r="777" spans="24:24" x14ac:dyDescent="0.25">
      <c r="X777" s="37" t="str">
        <f>IFERROR(INDEX(tabSource[Artikel],SMALL(tabSource[Liste],COUNTIF(tabSource[Liste],"=0")+ROW(A776)-1))," ")</f>
        <v xml:space="preserve"> </v>
      </c>
    </row>
    <row r="778" spans="24:24" x14ac:dyDescent="0.25">
      <c r="X778" s="37" t="str">
        <f>IFERROR(INDEX(tabSource[Artikel],SMALL(tabSource[Liste],COUNTIF(tabSource[Liste],"=0")+ROW(A777)-1))," ")</f>
        <v xml:space="preserve"> </v>
      </c>
    </row>
    <row r="779" spans="24:24" x14ac:dyDescent="0.25">
      <c r="X779" s="37" t="str">
        <f>IFERROR(INDEX(tabSource[Artikel],SMALL(tabSource[Liste],COUNTIF(tabSource[Liste],"=0")+ROW(A778)-1))," ")</f>
        <v xml:space="preserve"> </v>
      </c>
    </row>
    <row r="780" spans="24:24" x14ac:dyDescent="0.25">
      <c r="X780" s="37" t="str">
        <f>IFERROR(INDEX(tabSource[Artikel],SMALL(tabSource[Liste],COUNTIF(tabSource[Liste],"=0")+ROW(A779)-1))," ")</f>
        <v xml:space="preserve"> </v>
      </c>
    </row>
    <row r="781" spans="24:24" x14ac:dyDescent="0.25">
      <c r="X781" s="37" t="str">
        <f>IFERROR(INDEX(tabSource[Artikel],SMALL(tabSource[Liste],COUNTIF(tabSource[Liste],"=0")+ROW(A780)-1))," ")</f>
        <v xml:space="preserve"> </v>
      </c>
    </row>
    <row r="782" spans="24:24" x14ac:dyDescent="0.25">
      <c r="X782" s="37" t="str">
        <f>IFERROR(INDEX(tabSource[Artikel],SMALL(tabSource[Liste],COUNTIF(tabSource[Liste],"=0")+ROW(A781)-1))," ")</f>
        <v xml:space="preserve"> </v>
      </c>
    </row>
    <row r="783" spans="24:24" x14ac:dyDescent="0.25">
      <c r="X783" s="37" t="str">
        <f>IFERROR(INDEX(tabSource[Artikel],SMALL(tabSource[Liste],COUNTIF(tabSource[Liste],"=0")+ROW(A782)-1))," ")</f>
        <v xml:space="preserve"> </v>
      </c>
    </row>
    <row r="784" spans="24:24" x14ac:dyDescent="0.25">
      <c r="X784" s="37" t="str">
        <f>IFERROR(INDEX(tabSource[Artikel],SMALL(tabSource[Liste],COUNTIF(tabSource[Liste],"=0")+ROW(A783)-1))," ")</f>
        <v xml:space="preserve"> </v>
      </c>
    </row>
    <row r="785" spans="24:24" x14ac:dyDescent="0.25">
      <c r="X785" s="37" t="str">
        <f>IFERROR(INDEX(tabSource[Artikel],SMALL(tabSource[Liste],COUNTIF(tabSource[Liste],"=0")+ROW(A784)-1))," ")</f>
        <v xml:space="preserve"> </v>
      </c>
    </row>
    <row r="786" spans="24:24" x14ac:dyDescent="0.25">
      <c r="X786" s="37" t="str">
        <f>IFERROR(INDEX(tabSource[Artikel],SMALL(tabSource[Liste],COUNTIF(tabSource[Liste],"=0")+ROW(A785)-1))," ")</f>
        <v xml:space="preserve"> </v>
      </c>
    </row>
    <row r="787" spans="24:24" x14ac:dyDescent="0.25">
      <c r="X787" s="37" t="str">
        <f>IFERROR(INDEX(tabSource[Artikel],SMALL(tabSource[Liste],COUNTIF(tabSource[Liste],"=0")+ROW(A786)-1))," ")</f>
        <v xml:space="preserve"> </v>
      </c>
    </row>
    <row r="788" spans="24:24" x14ac:dyDescent="0.25">
      <c r="X788" s="37" t="str">
        <f>IFERROR(INDEX(tabSource[Artikel],SMALL(tabSource[Liste],COUNTIF(tabSource[Liste],"=0")+ROW(A787)-1))," ")</f>
        <v xml:space="preserve"> </v>
      </c>
    </row>
    <row r="789" spans="24:24" x14ac:dyDescent="0.25">
      <c r="X789" s="37" t="str">
        <f>IFERROR(INDEX(tabSource[Artikel],SMALL(tabSource[Liste],COUNTIF(tabSource[Liste],"=0")+ROW(A788)-1))," ")</f>
        <v xml:space="preserve"> </v>
      </c>
    </row>
    <row r="790" spans="24:24" x14ac:dyDescent="0.25">
      <c r="X790" s="37" t="str">
        <f>IFERROR(INDEX(tabSource[Artikel],SMALL(tabSource[Liste],COUNTIF(tabSource[Liste],"=0")+ROW(A789)-1))," ")</f>
        <v xml:space="preserve"> </v>
      </c>
    </row>
    <row r="791" spans="24:24" x14ac:dyDescent="0.25">
      <c r="X791" s="37" t="str">
        <f>IFERROR(INDEX(tabSource[Artikel],SMALL(tabSource[Liste],COUNTIF(tabSource[Liste],"=0")+ROW(A790)-1))," ")</f>
        <v xml:space="preserve"> </v>
      </c>
    </row>
    <row r="792" spans="24:24" x14ac:dyDescent="0.25">
      <c r="X792" s="37" t="str">
        <f>IFERROR(INDEX(tabSource[Artikel],SMALL(tabSource[Liste],COUNTIF(tabSource[Liste],"=0")+ROW(A791)-1))," ")</f>
        <v xml:space="preserve"> </v>
      </c>
    </row>
    <row r="793" spans="24:24" x14ac:dyDescent="0.25">
      <c r="X793" s="37" t="str">
        <f>IFERROR(INDEX(tabSource[Artikel],SMALL(tabSource[Liste],COUNTIF(tabSource[Liste],"=0")+ROW(A792)-1))," ")</f>
        <v xml:space="preserve"> </v>
      </c>
    </row>
    <row r="794" spans="24:24" x14ac:dyDescent="0.25">
      <c r="X794" s="37" t="str">
        <f>IFERROR(INDEX(tabSource[Artikel],SMALL(tabSource[Liste],COUNTIF(tabSource[Liste],"=0")+ROW(A793)-1))," ")</f>
        <v xml:space="preserve"> </v>
      </c>
    </row>
    <row r="795" spans="24:24" x14ac:dyDescent="0.25">
      <c r="X795" s="37" t="str">
        <f>IFERROR(INDEX(tabSource[Artikel],SMALL(tabSource[Liste],COUNTIF(tabSource[Liste],"=0")+ROW(A794)-1))," ")</f>
        <v xml:space="preserve"> </v>
      </c>
    </row>
    <row r="796" spans="24:24" x14ac:dyDescent="0.25">
      <c r="X796" s="37" t="str">
        <f>IFERROR(INDEX(tabSource[Artikel],SMALL(tabSource[Liste],COUNTIF(tabSource[Liste],"=0")+ROW(A795)-1))," ")</f>
        <v xml:space="preserve"> </v>
      </c>
    </row>
    <row r="797" spans="24:24" x14ac:dyDescent="0.25">
      <c r="X797" s="37" t="str">
        <f>IFERROR(INDEX(tabSource[Artikel],SMALL(tabSource[Liste],COUNTIF(tabSource[Liste],"=0")+ROW(A796)-1))," ")</f>
        <v xml:space="preserve"> </v>
      </c>
    </row>
    <row r="798" spans="24:24" x14ac:dyDescent="0.25">
      <c r="X798" s="37" t="str">
        <f>IFERROR(INDEX(tabSource[Artikel],SMALL(tabSource[Liste],COUNTIF(tabSource[Liste],"=0")+ROW(A797)-1))," ")</f>
        <v xml:space="preserve"> </v>
      </c>
    </row>
    <row r="799" spans="24:24" x14ac:dyDescent="0.25">
      <c r="X799" s="37" t="str">
        <f>IFERROR(INDEX(tabSource[Artikel],SMALL(tabSource[Liste],COUNTIF(tabSource[Liste],"=0")+ROW(A798)-1))," ")</f>
        <v xml:space="preserve"> </v>
      </c>
    </row>
    <row r="800" spans="24:24" x14ac:dyDescent="0.25">
      <c r="X800" s="37" t="str">
        <f>IFERROR(INDEX(tabSource[Artikel],SMALL(tabSource[Liste],COUNTIF(tabSource[Liste],"=0")+ROW(A799)-1))," ")</f>
        <v xml:space="preserve"> </v>
      </c>
    </row>
    <row r="801" spans="24:24" x14ac:dyDescent="0.25">
      <c r="X801" s="37" t="str">
        <f>IFERROR(INDEX(tabSource[Artikel],SMALL(tabSource[Liste],COUNTIF(tabSource[Liste],"=0")+ROW(A800)-1))," ")</f>
        <v xml:space="preserve"> </v>
      </c>
    </row>
    <row r="802" spans="24:24" x14ac:dyDescent="0.25">
      <c r="X802" s="37" t="str">
        <f>IFERROR(INDEX(tabSource[Artikel],SMALL(tabSource[Liste],COUNTIF(tabSource[Liste],"=0")+ROW(A801)-1))," ")</f>
        <v xml:space="preserve"> </v>
      </c>
    </row>
    <row r="803" spans="24:24" x14ac:dyDescent="0.25">
      <c r="X803" s="37" t="str">
        <f>IFERROR(INDEX(tabSource[Artikel],SMALL(tabSource[Liste],COUNTIF(tabSource[Liste],"=0")+ROW(A802)-1))," ")</f>
        <v xml:space="preserve"> </v>
      </c>
    </row>
    <row r="804" spans="24:24" x14ac:dyDescent="0.25">
      <c r="X804" s="37" t="str">
        <f>IFERROR(INDEX(tabSource[Artikel],SMALL(tabSource[Liste],COUNTIF(tabSource[Liste],"=0")+ROW(A803)-1))," ")</f>
        <v xml:space="preserve"> </v>
      </c>
    </row>
    <row r="805" spans="24:24" x14ac:dyDescent="0.25">
      <c r="X805" s="37" t="str">
        <f>IFERROR(INDEX(tabSource[Artikel],SMALL(tabSource[Liste],COUNTIF(tabSource[Liste],"=0")+ROW(A804)-1))," ")</f>
        <v xml:space="preserve"> </v>
      </c>
    </row>
    <row r="806" spans="24:24" x14ac:dyDescent="0.25">
      <c r="X806" s="37" t="str">
        <f>IFERROR(INDEX(tabSource[Artikel],SMALL(tabSource[Liste],COUNTIF(tabSource[Liste],"=0")+ROW(A805)-1))," ")</f>
        <v xml:space="preserve"> </v>
      </c>
    </row>
    <row r="807" spans="24:24" x14ac:dyDescent="0.25">
      <c r="X807" s="37" t="str">
        <f>IFERROR(INDEX(tabSource[Artikel],SMALL(tabSource[Liste],COUNTIF(tabSource[Liste],"=0")+ROW(A806)-1))," ")</f>
        <v xml:space="preserve"> </v>
      </c>
    </row>
    <row r="808" spans="24:24" x14ac:dyDescent="0.25">
      <c r="X808" s="37" t="str">
        <f>IFERROR(INDEX(tabSource[Artikel],SMALL(tabSource[Liste],COUNTIF(tabSource[Liste],"=0")+ROW(A807)-1))," ")</f>
        <v xml:space="preserve"> </v>
      </c>
    </row>
    <row r="809" spans="24:24" x14ac:dyDescent="0.25">
      <c r="X809" s="37" t="str">
        <f>IFERROR(INDEX(tabSource[Artikel],SMALL(tabSource[Liste],COUNTIF(tabSource[Liste],"=0")+ROW(A808)-1))," ")</f>
        <v xml:space="preserve"> </v>
      </c>
    </row>
    <row r="810" spans="24:24" x14ac:dyDescent="0.25">
      <c r="X810" s="37" t="str">
        <f>IFERROR(INDEX(tabSource[Artikel],SMALL(tabSource[Liste],COUNTIF(tabSource[Liste],"=0")+ROW(A809)-1))," ")</f>
        <v xml:space="preserve"> </v>
      </c>
    </row>
    <row r="811" spans="24:24" x14ac:dyDescent="0.25">
      <c r="X811" s="37" t="str">
        <f>IFERROR(INDEX(tabSource[Artikel],SMALL(tabSource[Liste],COUNTIF(tabSource[Liste],"=0")+ROW(A810)-1))," ")</f>
        <v xml:space="preserve"> </v>
      </c>
    </row>
    <row r="812" spans="24:24" x14ac:dyDescent="0.25">
      <c r="X812" s="37" t="str">
        <f>IFERROR(INDEX(tabSource[Artikel],SMALL(tabSource[Liste],COUNTIF(tabSource[Liste],"=0")+ROW(A811)-1))," ")</f>
        <v xml:space="preserve"> </v>
      </c>
    </row>
    <row r="813" spans="24:24" x14ac:dyDescent="0.25">
      <c r="X813" s="37" t="str">
        <f>IFERROR(INDEX(tabSource[Artikel],SMALL(tabSource[Liste],COUNTIF(tabSource[Liste],"=0")+ROW(A812)-1))," ")</f>
        <v xml:space="preserve"> </v>
      </c>
    </row>
    <row r="814" spans="24:24" x14ac:dyDescent="0.25">
      <c r="X814" s="37" t="str">
        <f>IFERROR(INDEX(tabSource[Artikel],SMALL(tabSource[Liste],COUNTIF(tabSource[Liste],"=0")+ROW(A813)-1))," ")</f>
        <v xml:space="preserve"> </v>
      </c>
    </row>
    <row r="815" spans="24:24" x14ac:dyDescent="0.25">
      <c r="X815" s="37" t="str">
        <f>IFERROR(INDEX(tabSource[Artikel],SMALL(tabSource[Liste],COUNTIF(tabSource[Liste],"=0")+ROW(A814)-1))," ")</f>
        <v xml:space="preserve"> </v>
      </c>
    </row>
    <row r="816" spans="24:24" x14ac:dyDescent="0.25">
      <c r="X816" s="37" t="str">
        <f>IFERROR(INDEX(tabSource[Artikel],SMALL(tabSource[Liste],COUNTIF(tabSource[Liste],"=0")+ROW(A815)-1))," ")</f>
        <v xml:space="preserve"> </v>
      </c>
    </row>
    <row r="817" spans="24:24" x14ac:dyDescent="0.25">
      <c r="X817" s="37" t="str">
        <f>IFERROR(INDEX(tabSource[Artikel],SMALL(tabSource[Liste],COUNTIF(tabSource[Liste],"=0")+ROW(A816)-1))," ")</f>
        <v xml:space="preserve"> </v>
      </c>
    </row>
    <row r="818" spans="24:24" x14ac:dyDescent="0.25">
      <c r="X818" s="37" t="str">
        <f>IFERROR(INDEX(tabSource[Artikel],SMALL(tabSource[Liste],COUNTIF(tabSource[Liste],"=0")+ROW(A817)-1))," ")</f>
        <v xml:space="preserve"> </v>
      </c>
    </row>
    <row r="819" spans="24:24" x14ac:dyDescent="0.25">
      <c r="X819" s="37" t="str">
        <f>IFERROR(INDEX(tabSource[Artikel],SMALL(tabSource[Liste],COUNTIF(tabSource[Liste],"=0")+ROW(A818)-1))," ")</f>
        <v xml:space="preserve"> </v>
      </c>
    </row>
    <row r="820" spans="24:24" x14ac:dyDescent="0.25">
      <c r="X820" s="37" t="str">
        <f>IFERROR(INDEX(tabSource[Artikel],SMALL(tabSource[Liste],COUNTIF(tabSource[Liste],"=0")+ROW(A819)-1))," ")</f>
        <v xml:space="preserve"> </v>
      </c>
    </row>
    <row r="821" spans="24:24" x14ac:dyDescent="0.25">
      <c r="X821" s="37" t="str">
        <f>IFERROR(INDEX(tabSource[Artikel],SMALL(tabSource[Liste],COUNTIF(tabSource[Liste],"=0")+ROW(A820)-1))," ")</f>
        <v xml:space="preserve"> </v>
      </c>
    </row>
    <row r="822" spans="24:24" x14ac:dyDescent="0.25">
      <c r="X822" s="37" t="str">
        <f>IFERROR(INDEX(tabSource[Artikel],SMALL(tabSource[Liste],COUNTIF(tabSource[Liste],"=0")+ROW(A821)-1))," ")</f>
        <v xml:space="preserve"> </v>
      </c>
    </row>
    <row r="823" spans="24:24" x14ac:dyDescent="0.25">
      <c r="X823" s="37" t="str">
        <f>IFERROR(INDEX(tabSource[Artikel],SMALL(tabSource[Liste],COUNTIF(tabSource[Liste],"=0")+ROW(A822)-1))," ")</f>
        <v xml:space="preserve"> </v>
      </c>
    </row>
    <row r="824" spans="24:24" x14ac:dyDescent="0.25">
      <c r="X824" s="37" t="str">
        <f>IFERROR(INDEX(tabSource[Artikel],SMALL(tabSource[Liste],COUNTIF(tabSource[Liste],"=0")+ROW(A823)-1))," ")</f>
        <v xml:space="preserve"> </v>
      </c>
    </row>
    <row r="825" spans="24:24" x14ac:dyDescent="0.25">
      <c r="X825" s="37" t="str">
        <f>IFERROR(INDEX(tabSource[Artikel],SMALL(tabSource[Liste],COUNTIF(tabSource[Liste],"=0")+ROW(A824)-1))," ")</f>
        <v xml:space="preserve"> </v>
      </c>
    </row>
    <row r="826" spans="24:24" x14ac:dyDescent="0.25">
      <c r="X826" s="37" t="str">
        <f>IFERROR(INDEX(tabSource[Artikel],SMALL(tabSource[Liste],COUNTIF(tabSource[Liste],"=0")+ROW(A825)-1))," ")</f>
        <v xml:space="preserve"> </v>
      </c>
    </row>
    <row r="827" spans="24:24" x14ac:dyDescent="0.25">
      <c r="X827" s="37" t="str">
        <f>IFERROR(INDEX(tabSource[Artikel],SMALL(tabSource[Liste],COUNTIF(tabSource[Liste],"=0")+ROW(A826)-1))," ")</f>
        <v xml:space="preserve"> </v>
      </c>
    </row>
    <row r="828" spans="24:24" x14ac:dyDescent="0.25">
      <c r="X828" s="37" t="str">
        <f>IFERROR(INDEX(tabSource[Artikel],SMALL(tabSource[Liste],COUNTIF(tabSource[Liste],"=0")+ROW(A827)-1))," ")</f>
        <v xml:space="preserve"> </v>
      </c>
    </row>
    <row r="829" spans="24:24" x14ac:dyDescent="0.25">
      <c r="X829" s="37" t="str">
        <f>IFERROR(INDEX(tabSource[Artikel],SMALL(tabSource[Liste],COUNTIF(tabSource[Liste],"=0")+ROW(A828)-1))," ")</f>
        <v xml:space="preserve"> </v>
      </c>
    </row>
    <row r="830" spans="24:24" x14ac:dyDescent="0.25">
      <c r="X830" s="37" t="str">
        <f>IFERROR(INDEX(tabSource[Artikel],SMALL(tabSource[Liste],COUNTIF(tabSource[Liste],"=0")+ROW(A829)-1))," ")</f>
        <v xml:space="preserve"> </v>
      </c>
    </row>
    <row r="831" spans="24:24" x14ac:dyDescent="0.25">
      <c r="X831" s="37" t="str">
        <f>IFERROR(INDEX(tabSource[Artikel],SMALL(tabSource[Liste],COUNTIF(tabSource[Liste],"=0")+ROW(A830)-1))," ")</f>
        <v xml:space="preserve"> </v>
      </c>
    </row>
    <row r="832" spans="24:24" x14ac:dyDescent="0.25">
      <c r="X832" s="37" t="str">
        <f>IFERROR(INDEX(tabSource[Artikel],SMALL(tabSource[Liste],COUNTIF(tabSource[Liste],"=0")+ROW(A831)-1))," ")</f>
        <v xml:space="preserve"> </v>
      </c>
    </row>
    <row r="833" spans="24:24" x14ac:dyDescent="0.25">
      <c r="X833" s="37" t="str">
        <f>IFERROR(INDEX(tabSource[Artikel],SMALL(tabSource[Liste],COUNTIF(tabSource[Liste],"=0")+ROW(A832)-1))," ")</f>
        <v xml:space="preserve"> </v>
      </c>
    </row>
    <row r="834" spans="24:24" x14ac:dyDescent="0.25">
      <c r="X834" s="37" t="str">
        <f>IFERROR(INDEX(tabSource[Artikel],SMALL(tabSource[Liste],COUNTIF(tabSource[Liste],"=0")+ROW(A833)-1))," ")</f>
        <v xml:space="preserve"> </v>
      </c>
    </row>
    <row r="835" spans="24:24" x14ac:dyDescent="0.25">
      <c r="X835" s="37" t="str">
        <f>IFERROR(INDEX(tabSource[Artikel],SMALL(tabSource[Liste],COUNTIF(tabSource[Liste],"=0")+ROW(A834)-1))," ")</f>
        <v xml:space="preserve"> </v>
      </c>
    </row>
    <row r="836" spans="24:24" x14ac:dyDescent="0.25">
      <c r="X836" s="37" t="str">
        <f>IFERROR(INDEX(tabSource[Artikel],SMALL(tabSource[Liste],COUNTIF(tabSource[Liste],"=0")+ROW(A835)-1))," ")</f>
        <v xml:space="preserve"> </v>
      </c>
    </row>
    <row r="837" spans="24:24" x14ac:dyDescent="0.25">
      <c r="X837" s="37" t="str">
        <f>IFERROR(INDEX(tabSource[Artikel],SMALL(tabSource[Liste],COUNTIF(tabSource[Liste],"=0")+ROW(A836)-1))," ")</f>
        <v xml:space="preserve"> </v>
      </c>
    </row>
    <row r="838" spans="24:24" x14ac:dyDescent="0.25">
      <c r="X838" s="37" t="str">
        <f>IFERROR(INDEX(tabSource[Artikel],SMALL(tabSource[Liste],COUNTIF(tabSource[Liste],"=0")+ROW(A837)-1))," ")</f>
        <v xml:space="preserve"> </v>
      </c>
    </row>
    <row r="839" spans="24:24" x14ac:dyDescent="0.25">
      <c r="X839" s="37" t="str">
        <f>IFERROR(INDEX(tabSource[Artikel],SMALL(tabSource[Liste],COUNTIF(tabSource[Liste],"=0")+ROW(A838)-1))," ")</f>
        <v xml:space="preserve"> </v>
      </c>
    </row>
    <row r="840" spans="24:24" x14ac:dyDescent="0.25">
      <c r="X840" s="37" t="str">
        <f>IFERROR(INDEX(tabSource[Artikel],SMALL(tabSource[Liste],COUNTIF(tabSource[Liste],"=0")+ROW(A839)-1))," ")</f>
        <v xml:space="preserve"> </v>
      </c>
    </row>
    <row r="841" spans="24:24" x14ac:dyDescent="0.25">
      <c r="X841" s="37" t="str">
        <f>IFERROR(INDEX(tabSource[Artikel],SMALL(tabSource[Liste],COUNTIF(tabSource[Liste],"=0")+ROW(A840)-1))," ")</f>
        <v xml:space="preserve"> </v>
      </c>
    </row>
    <row r="842" spans="24:24" x14ac:dyDescent="0.25">
      <c r="X842" s="37" t="str">
        <f>IFERROR(INDEX(tabSource[Artikel],SMALL(tabSource[Liste],COUNTIF(tabSource[Liste],"=0")+ROW(A841)-1))," ")</f>
        <v xml:space="preserve"> </v>
      </c>
    </row>
    <row r="843" spans="24:24" x14ac:dyDescent="0.25">
      <c r="X843" s="37" t="str">
        <f>IFERROR(INDEX(tabSource[Artikel],SMALL(tabSource[Liste],COUNTIF(tabSource[Liste],"=0")+ROW(A842)-1))," ")</f>
        <v xml:space="preserve"> </v>
      </c>
    </row>
    <row r="844" spans="24:24" x14ac:dyDescent="0.25">
      <c r="X844" s="37" t="str">
        <f>IFERROR(INDEX(tabSource[Artikel],SMALL(tabSource[Liste],COUNTIF(tabSource[Liste],"=0")+ROW(A843)-1))," ")</f>
        <v xml:space="preserve"> </v>
      </c>
    </row>
    <row r="845" spans="24:24" x14ac:dyDescent="0.25">
      <c r="X845" s="37" t="str">
        <f>IFERROR(INDEX(tabSource[Artikel],SMALL(tabSource[Liste],COUNTIF(tabSource[Liste],"=0")+ROW(A844)-1))," ")</f>
        <v xml:space="preserve"> </v>
      </c>
    </row>
    <row r="846" spans="24:24" x14ac:dyDescent="0.25">
      <c r="X846" s="37" t="str">
        <f>IFERROR(INDEX(tabSource[Artikel],SMALL(tabSource[Liste],COUNTIF(tabSource[Liste],"=0")+ROW(A845)-1))," ")</f>
        <v xml:space="preserve"> </v>
      </c>
    </row>
    <row r="847" spans="24:24" x14ac:dyDescent="0.25">
      <c r="X847" s="37" t="str">
        <f>IFERROR(INDEX(tabSource[Artikel],SMALL(tabSource[Liste],COUNTIF(tabSource[Liste],"=0")+ROW(A846)-1))," ")</f>
        <v xml:space="preserve"> </v>
      </c>
    </row>
    <row r="848" spans="24:24" x14ac:dyDescent="0.25">
      <c r="X848" s="37" t="str">
        <f>IFERROR(INDEX(tabSource[Artikel],SMALL(tabSource[Liste],COUNTIF(tabSource[Liste],"=0")+ROW(A847)-1))," ")</f>
        <v xml:space="preserve"> </v>
      </c>
    </row>
    <row r="849" spans="24:24" x14ac:dyDescent="0.25">
      <c r="X849" s="37" t="str">
        <f>IFERROR(INDEX(tabSource[Artikel],SMALL(tabSource[Liste],COUNTIF(tabSource[Liste],"=0")+ROW(A848)-1))," ")</f>
        <v xml:space="preserve"> </v>
      </c>
    </row>
    <row r="850" spans="24:24" x14ac:dyDescent="0.25">
      <c r="X850" s="37" t="str">
        <f>IFERROR(INDEX(tabSource[Artikel],SMALL(tabSource[Liste],COUNTIF(tabSource[Liste],"=0")+ROW(A849)-1))," ")</f>
        <v xml:space="preserve"> </v>
      </c>
    </row>
    <row r="851" spans="24:24" x14ac:dyDescent="0.25">
      <c r="X851" s="37" t="str">
        <f>IFERROR(INDEX(tabSource[Artikel],SMALL(tabSource[Liste],COUNTIF(tabSource[Liste],"=0")+ROW(A850)-1))," ")</f>
        <v xml:space="preserve"> </v>
      </c>
    </row>
    <row r="852" spans="24:24" x14ac:dyDescent="0.25">
      <c r="X852" s="37" t="str">
        <f>IFERROR(INDEX(tabSource[Artikel],SMALL(tabSource[Liste],COUNTIF(tabSource[Liste],"=0")+ROW(A851)-1))," ")</f>
        <v xml:space="preserve"> </v>
      </c>
    </row>
    <row r="853" spans="24:24" x14ac:dyDescent="0.25">
      <c r="X853" s="37" t="str">
        <f>IFERROR(INDEX(tabSource[Artikel],SMALL(tabSource[Liste],COUNTIF(tabSource[Liste],"=0")+ROW(A852)-1))," ")</f>
        <v xml:space="preserve"> </v>
      </c>
    </row>
    <row r="854" spans="24:24" x14ac:dyDescent="0.25">
      <c r="X854" s="37" t="str">
        <f>IFERROR(INDEX(tabSource[Artikel],SMALL(tabSource[Liste],COUNTIF(tabSource[Liste],"=0")+ROW(A853)-1))," ")</f>
        <v xml:space="preserve"> </v>
      </c>
    </row>
    <row r="855" spans="24:24" x14ac:dyDescent="0.25">
      <c r="X855" s="37" t="str">
        <f>IFERROR(INDEX(tabSource[Artikel],SMALL(tabSource[Liste],COUNTIF(tabSource[Liste],"=0")+ROW(A854)-1))," ")</f>
        <v xml:space="preserve"> </v>
      </c>
    </row>
    <row r="856" spans="24:24" x14ac:dyDescent="0.25">
      <c r="X856" s="37" t="str">
        <f>IFERROR(INDEX(tabSource[Artikel],SMALL(tabSource[Liste],COUNTIF(tabSource[Liste],"=0")+ROW(A855)-1))," ")</f>
        <v xml:space="preserve"> </v>
      </c>
    </row>
    <row r="857" spans="24:24" x14ac:dyDescent="0.25">
      <c r="X857" s="37" t="str">
        <f>IFERROR(INDEX(tabSource[Artikel],SMALL(tabSource[Liste],COUNTIF(tabSource[Liste],"=0")+ROW(A856)-1))," ")</f>
        <v xml:space="preserve"> </v>
      </c>
    </row>
    <row r="858" spans="24:24" x14ac:dyDescent="0.25">
      <c r="X858" s="37" t="str">
        <f>IFERROR(INDEX(tabSource[Artikel],SMALL(tabSource[Liste],COUNTIF(tabSource[Liste],"=0")+ROW(A857)-1))," ")</f>
        <v xml:space="preserve"> </v>
      </c>
    </row>
    <row r="859" spans="24:24" x14ac:dyDescent="0.25">
      <c r="X859" s="37" t="str">
        <f>IFERROR(INDEX(tabSource[Artikel],SMALL(tabSource[Liste],COUNTIF(tabSource[Liste],"=0")+ROW(A858)-1))," ")</f>
        <v xml:space="preserve"> </v>
      </c>
    </row>
    <row r="860" spans="24:24" x14ac:dyDescent="0.25">
      <c r="X860" s="37" t="str">
        <f>IFERROR(INDEX(tabSource[Artikel],SMALL(tabSource[Liste],COUNTIF(tabSource[Liste],"=0")+ROW(A859)-1))," ")</f>
        <v xml:space="preserve"> </v>
      </c>
    </row>
    <row r="861" spans="24:24" x14ac:dyDescent="0.25">
      <c r="X861" s="37" t="str">
        <f>IFERROR(INDEX(tabSource[Artikel],SMALL(tabSource[Liste],COUNTIF(tabSource[Liste],"=0")+ROW(A860)-1))," ")</f>
        <v xml:space="preserve"> </v>
      </c>
    </row>
    <row r="862" spans="24:24" x14ac:dyDescent="0.25">
      <c r="X862" s="37" t="str">
        <f>IFERROR(INDEX(tabSource[Artikel],SMALL(tabSource[Liste],COUNTIF(tabSource[Liste],"=0")+ROW(A861)-1))," ")</f>
        <v xml:space="preserve"> </v>
      </c>
    </row>
    <row r="863" spans="24:24" x14ac:dyDescent="0.25">
      <c r="X863" s="37" t="str">
        <f>IFERROR(INDEX(tabSource[Artikel],SMALL(tabSource[Liste],COUNTIF(tabSource[Liste],"=0")+ROW(A862)-1))," ")</f>
        <v xml:space="preserve"> </v>
      </c>
    </row>
    <row r="864" spans="24:24" x14ac:dyDescent="0.25">
      <c r="X864" s="37" t="str">
        <f>IFERROR(INDEX(tabSource[Artikel],SMALL(tabSource[Liste],COUNTIF(tabSource[Liste],"=0")+ROW(A863)-1))," ")</f>
        <v xml:space="preserve"> </v>
      </c>
    </row>
    <row r="865" spans="24:24" x14ac:dyDescent="0.25">
      <c r="X865" s="37" t="str">
        <f>IFERROR(INDEX(tabSource[Artikel],SMALL(tabSource[Liste],COUNTIF(tabSource[Liste],"=0")+ROW(A864)-1))," ")</f>
        <v xml:space="preserve"> </v>
      </c>
    </row>
    <row r="866" spans="24:24" x14ac:dyDescent="0.25">
      <c r="X866" s="37" t="str">
        <f>IFERROR(INDEX(tabSource[Artikel],SMALL(tabSource[Liste],COUNTIF(tabSource[Liste],"=0")+ROW(A865)-1))," ")</f>
        <v xml:space="preserve"> </v>
      </c>
    </row>
    <row r="867" spans="24:24" x14ac:dyDescent="0.25">
      <c r="X867" s="37" t="str">
        <f>IFERROR(INDEX(tabSource[Artikel],SMALL(tabSource[Liste],COUNTIF(tabSource[Liste],"=0")+ROW(A866)-1))," ")</f>
        <v xml:space="preserve"> </v>
      </c>
    </row>
    <row r="868" spans="24:24" x14ac:dyDescent="0.25">
      <c r="X868" s="37" t="str">
        <f>IFERROR(INDEX(tabSource[Artikel],SMALL(tabSource[Liste],COUNTIF(tabSource[Liste],"=0")+ROW(A867)-1))," ")</f>
        <v xml:space="preserve"> </v>
      </c>
    </row>
    <row r="869" spans="24:24" x14ac:dyDescent="0.25">
      <c r="X869" s="37" t="str">
        <f>IFERROR(INDEX(tabSource[Artikel],SMALL(tabSource[Liste],COUNTIF(tabSource[Liste],"=0")+ROW(A868)-1))," ")</f>
        <v xml:space="preserve"> </v>
      </c>
    </row>
    <row r="870" spans="24:24" x14ac:dyDescent="0.25">
      <c r="X870" s="37" t="str">
        <f>IFERROR(INDEX(tabSource[Artikel],SMALL(tabSource[Liste],COUNTIF(tabSource[Liste],"=0")+ROW(A869)-1))," ")</f>
        <v xml:space="preserve"> </v>
      </c>
    </row>
    <row r="871" spans="24:24" x14ac:dyDescent="0.25">
      <c r="X871" s="37" t="str">
        <f>IFERROR(INDEX(tabSource[Artikel],SMALL(tabSource[Liste],COUNTIF(tabSource[Liste],"=0")+ROW(A870)-1))," ")</f>
        <v xml:space="preserve"> </v>
      </c>
    </row>
    <row r="872" spans="24:24" x14ac:dyDescent="0.25">
      <c r="X872" s="37" t="str">
        <f>IFERROR(INDEX(tabSource[Artikel],SMALL(tabSource[Liste],COUNTIF(tabSource[Liste],"=0")+ROW(A871)-1))," ")</f>
        <v xml:space="preserve"> </v>
      </c>
    </row>
    <row r="873" spans="24:24" x14ac:dyDescent="0.25">
      <c r="X873" s="37" t="str">
        <f>IFERROR(INDEX(tabSource[Artikel],SMALL(tabSource[Liste],COUNTIF(tabSource[Liste],"=0")+ROW(A872)-1))," ")</f>
        <v xml:space="preserve"> </v>
      </c>
    </row>
    <row r="874" spans="24:24" x14ac:dyDescent="0.25">
      <c r="X874" s="37" t="str">
        <f>IFERROR(INDEX(tabSource[Artikel],SMALL(tabSource[Liste],COUNTIF(tabSource[Liste],"=0")+ROW(A873)-1))," ")</f>
        <v xml:space="preserve"> </v>
      </c>
    </row>
    <row r="875" spans="24:24" x14ac:dyDescent="0.25">
      <c r="X875" s="37" t="str">
        <f>IFERROR(INDEX(tabSource[Artikel],SMALL(tabSource[Liste],COUNTIF(tabSource[Liste],"=0")+ROW(A874)-1))," ")</f>
        <v xml:space="preserve"> </v>
      </c>
    </row>
    <row r="876" spans="24:24" x14ac:dyDescent="0.25">
      <c r="X876" s="37" t="str">
        <f>IFERROR(INDEX(tabSource[Artikel],SMALL(tabSource[Liste],COUNTIF(tabSource[Liste],"=0")+ROW(A875)-1))," ")</f>
        <v xml:space="preserve"> </v>
      </c>
    </row>
    <row r="877" spans="24:24" x14ac:dyDescent="0.25">
      <c r="X877" s="37" t="str">
        <f>IFERROR(INDEX(tabSource[Artikel],SMALL(tabSource[Liste],COUNTIF(tabSource[Liste],"=0")+ROW(A876)-1))," ")</f>
        <v xml:space="preserve"> </v>
      </c>
    </row>
    <row r="878" spans="24:24" x14ac:dyDescent="0.25">
      <c r="X878" s="37" t="str">
        <f>IFERROR(INDEX(tabSource[Artikel],SMALL(tabSource[Liste],COUNTIF(tabSource[Liste],"=0")+ROW(A877)-1))," ")</f>
        <v xml:space="preserve"> </v>
      </c>
    </row>
    <row r="879" spans="24:24" x14ac:dyDescent="0.25">
      <c r="X879" s="37" t="str">
        <f>IFERROR(INDEX(tabSource[Artikel],SMALL(tabSource[Liste],COUNTIF(tabSource[Liste],"=0")+ROW(A878)-1))," ")</f>
        <v xml:space="preserve"> </v>
      </c>
    </row>
    <row r="880" spans="24:24" x14ac:dyDescent="0.25">
      <c r="X880" s="37" t="str">
        <f>IFERROR(INDEX(tabSource[Artikel],SMALL(tabSource[Liste],COUNTIF(tabSource[Liste],"=0")+ROW(A879)-1))," ")</f>
        <v xml:space="preserve"> </v>
      </c>
    </row>
    <row r="881" spans="24:24" x14ac:dyDescent="0.25">
      <c r="X881" s="37" t="str">
        <f>IFERROR(INDEX(tabSource[Artikel],SMALL(tabSource[Liste],COUNTIF(tabSource[Liste],"=0")+ROW(A880)-1))," ")</f>
        <v xml:space="preserve"> </v>
      </c>
    </row>
    <row r="882" spans="24:24" x14ac:dyDescent="0.25">
      <c r="X882" s="37" t="str">
        <f>IFERROR(INDEX(tabSource[Artikel],SMALL(tabSource[Liste],COUNTIF(tabSource[Liste],"=0")+ROW(A881)-1))," ")</f>
        <v xml:space="preserve"> </v>
      </c>
    </row>
    <row r="883" spans="24:24" x14ac:dyDescent="0.25">
      <c r="X883" s="37" t="str">
        <f>IFERROR(INDEX(tabSource[Artikel],SMALL(tabSource[Liste],COUNTIF(tabSource[Liste],"=0")+ROW(A882)-1))," ")</f>
        <v xml:space="preserve"> </v>
      </c>
    </row>
    <row r="884" spans="24:24" x14ac:dyDescent="0.25">
      <c r="X884" s="37" t="str">
        <f>IFERROR(INDEX(tabSource[Artikel],SMALL(tabSource[Liste],COUNTIF(tabSource[Liste],"=0")+ROW(A883)-1))," ")</f>
        <v xml:space="preserve"> </v>
      </c>
    </row>
    <row r="885" spans="24:24" x14ac:dyDescent="0.25">
      <c r="X885" s="37" t="str">
        <f>IFERROR(INDEX(tabSource[Artikel],SMALL(tabSource[Liste],COUNTIF(tabSource[Liste],"=0")+ROW(A884)-1))," ")</f>
        <v xml:space="preserve"> </v>
      </c>
    </row>
    <row r="886" spans="24:24" x14ac:dyDescent="0.25">
      <c r="X886" s="37" t="str">
        <f>IFERROR(INDEX(tabSource[Artikel],SMALL(tabSource[Liste],COUNTIF(tabSource[Liste],"=0")+ROW(A885)-1))," ")</f>
        <v xml:space="preserve"> </v>
      </c>
    </row>
    <row r="887" spans="24:24" x14ac:dyDescent="0.25">
      <c r="X887" s="37" t="str">
        <f>IFERROR(INDEX(tabSource[Artikel],SMALL(tabSource[Liste],COUNTIF(tabSource[Liste],"=0")+ROW(A886)-1))," ")</f>
        <v xml:space="preserve"> </v>
      </c>
    </row>
    <row r="888" spans="24:24" x14ac:dyDescent="0.25">
      <c r="X888" s="37" t="str">
        <f>IFERROR(INDEX(tabSource[Artikel],SMALL(tabSource[Liste],COUNTIF(tabSource[Liste],"=0")+ROW(A887)-1))," ")</f>
        <v xml:space="preserve"> </v>
      </c>
    </row>
    <row r="889" spans="24:24" x14ac:dyDescent="0.25">
      <c r="X889" s="37" t="str">
        <f>IFERROR(INDEX(tabSource[Artikel],SMALL(tabSource[Liste],COUNTIF(tabSource[Liste],"=0")+ROW(A888)-1))," ")</f>
        <v xml:space="preserve"> </v>
      </c>
    </row>
    <row r="890" spans="24:24" x14ac:dyDescent="0.25">
      <c r="X890" s="37" t="str">
        <f>IFERROR(INDEX(tabSource[Artikel],SMALL(tabSource[Liste],COUNTIF(tabSource[Liste],"=0")+ROW(A889)-1))," ")</f>
        <v xml:space="preserve"> </v>
      </c>
    </row>
    <row r="891" spans="24:24" x14ac:dyDescent="0.25">
      <c r="X891" s="37" t="str">
        <f>IFERROR(INDEX(tabSource[Artikel],SMALL(tabSource[Liste],COUNTIF(tabSource[Liste],"=0")+ROW(A890)-1))," ")</f>
        <v xml:space="preserve"> </v>
      </c>
    </row>
    <row r="892" spans="24:24" x14ac:dyDescent="0.25">
      <c r="X892" s="37" t="str">
        <f>IFERROR(INDEX(tabSource[Artikel],SMALL(tabSource[Liste],COUNTIF(tabSource[Liste],"=0")+ROW(A891)-1))," ")</f>
        <v xml:space="preserve"> </v>
      </c>
    </row>
    <row r="893" spans="24:24" x14ac:dyDescent="0.25">
      <c r="X893" s="37" t="str">
        <f>IFERROR(INDEX(tabSource[Artikel],SMALL(tabSource[Liste],COUNTIF(tabSource[Liste],"=0")+ROW(A892)-1))," ")</f>
        <v xml:space="preserve"> </v>
      </c>
    </row>
    <row r="894" spans="24:24" x14ac:dyDescent="0.25">
      <c r="X894" s="37" t="str">
        <f>IFERROR(INDEX(tabSource[Artikel],SMALL(tabSource[Liste],COUNTIF(tabSource[Liste],"=0")+ROW(A893)-1))," ")</f>
        <v xml:space="preserve"> </v>
      </c>
    </row>
    <row r="895" spans="24:24" x14ac:dyDescent="0.25">
      <c r="X895" s="37" t="str">
        <f>IFERROR(INDEX(tabSource[Artikel],SMALL(tabSource[Liste],COUNTIF(tabSource[Liste],"=0")+ROW(A894)-1))," ")</f>
        <v xml:space="preserve"> </v>
      </c>
    </row>
    <row r="896" spans="24:24" x14ac:dyDescent="0.25">
      <c r="X896" s="37" t="str">
        <f>IFERROR(INDEX(tabSource[Artikel],SMALL(tabSource[Liste],COUNTIF(tabSource[Liste],"=0")+ROW(A895)-1))," ")</f>
        <v xml:space="preserve"> </v>
      </c>
    </row>
    <row r="897" spans="24:24" x14ac:dyDescent="0.25">
      <c r="X897" s="37" t="str">
        <f>IFERROR(INDEX(tabSource[Artikel],SMALL(tabSource[Liste],COUNTIF(tabSource[Liste],"=0")+ROW(A896)-1))," ")</f>
        <v xml:space="preserve"> </v>
      </c>
    </row>
    <row r="898" spans="24:24" x14ac:dyDescent="0.25">
      <c r="X898" s="37" t="str">
        <f>IFERROR(INDEX(tabSource[Artikel],SMALL(tabSource[Liste],COUNTIF(tabSource[Liste],"=0")+ROW(A897)-1))," ")</f>
        <v xml:space="preserve"> </v>
      </c>
    </row>
    <row r="899" spans="24:24" x14ac:dyDescent="0.25">
      <c r="X899" s="37" t="str">
        <f>IFERROR(INDEX(tabSource[Artikel],SMALL(tabSource[Liste],COUNTIF(tabSource[Liste],"=0")+ROW(A898)-1))," ")</f>
        <v xml:space="preserve"> </v>
      </c>
    </row>
    <row r="900" spans="24:24" x14ac:dyDescent="0.25">
      <c r="X900" s="37" t="str">
        <f>IFERROR(INDEX(tabSource[Artikel],SMALL(tabSource[Liste],COUNTIF(tabSource[Liste],"=0")+ROW(A899)-1))," ")</f>
        <v xml:space="preserve"> </v>
      </c>
    </row>
    <row r="901" spans="24:24" x14ac:dyDescent="0.25">
      <c r="X901" s="37" t="str">
        <f>IFERROR(INDEX(tabSource[Artikel],SMALL(tabSource[Liste],COUNTIF(tabSource[Liste],"=0")+ROW(A900)-1))," ")</f>
        <v xml:space="preserve"> </v>
      </c>
    </row>
    <row r="902" spans="24:24" x14ac:dyDescent="0.25">
      <c r="X902" s="37" t="str">
        <f>IFERROR(INDEX(tabSource[Artikel],SMALL(tabSource[Liste],COUNTIF(tabSource[Liste],"=0")+ROW(A901)-1))," ")</f>
        <v xml:space="preserve"> </v>
      </c>
    </row>
    <row r="903" spans="24:24" x14ac:dyDescent="0.25">
      <c r="X903" s="37" t="str">
        <f>IFERROR(INDEX(tabSource[Artikel],SMALL(tabSource[Liste],COUNTIF(tabSource[Liste],"=0")+ROW(A902)-1))," ")</f>
        <v xml:space="preserve"> </v>
      </c>
    </row>
    <row r="904" spans="24:24" x14ac:dyDescent="0.25">
      <c r="X904" s="37" t="str">
        <f>IFERROR(INDEX(tabSource[Artikel],SMALL(tabSource[Liste],COUNTIF(tabSource[Liste],"=0")+ROW(A903)-1))," ")</f>
        <v xml:space="preserve"> </v>
      </c>
    </row>
    <row r="905" spans="24:24" x14ac:dyDescent="0.25">
      <c r="X905" s="37" t="str">
        <f>IFERROR(INDEX(tabSource[Artikel],SMALL(tabSource[Liste],COUNTIF(tabSource[Liste],"=0")+ROW(A904)-1))," ")</f>
        <v xml:space="preserve"> </v>
      </c>
    </row>
    <row r="906" spans="24:24" x14ac:dyDescent="0.25">
      <c r="X906" s="37" t="str">
        <f>IFERROR(INDEX(tabSource[Artikel],SMALL(tabSource[Liste],COUNTIF(tabSource[Liste],"=0")+ROW(A905)-1))," ")</f>
        <v xml:space="preserve"> </v>
      </c>
    </row>
    <row r="907" spans="24:24" x14ac:dyDescent="0.25">
      <c r="X907" s="37" t="str">
        <f>IFERROR(INDEX(tabSource[Artikel],SMALL(tabSource[Liste],COUNTIF(tabSource[Liste],"=0")+ROW(A906)-1))," ")</f>
        <v xml:space="preserve"> </v>
      </c>
    </row>
    <row r="908" spans="24:24" x14ac:dyDescent="0.25">
      <c r="X908" s="37" t="str">
        <f>IFERROR(INDEX(tabSource[Artikel],SMALL(tabSource[Liste],COUNTIF(tabSource[Liste],"=0")+ROW(A907)-1))," ")</f>
        <v xml:space="preserve"> </v>
      </c>
    </row>
    <row r="909" spans="24:24" x14ac:dyDescent="0.25">
      <c r="X909" s="37" t="str">
        <f>IFERROR(INDEX(tabSource[Artikel],SMALL(tabSource[Liste],COUNTIF(tabSource[Liste],"=0")+ROW(A908)-1))," ")</f>
        <v xml:space="preserve"> </v>
      </c>
    </row>
    <row r="910" spans="24:24" x14ac:dyDescent="0.25">
      <c r="X910" s="37" t="str">
        <f>IFERROR(INDEX(tabSource[Artikel],SMALL(tabSource[Liste],COUNTIF(tabSource[Liste],"=0")+ROW(A909)-1))," ")</f>
        <v xml:space="preserve"> </v>
      </c>
    </row>
    <row r="911" spans="24:24" x14ac:dyDescent="0.25">
      <c r="X911" s="37" t="str">
        <f>IFERROR(INDEX(tabSource[Artikel],SMALL(tabSource[Liste],COUNTIF(tabSource[Liste],"=0")+ROW(A910)-1))," ")</f>
        <v xml:space="preserve"> </v>
      </c>
    </row>
    <row r="912" spans="24:24" x14ac:dyDescent="0.25">
      <c r="X912" s="37" t="str">
        <f>IFERROR(INDEX(tabSource[Artikel],SMALL(tabSource[Liste],COUNTIF(tabSource[Liste],"=0")+ROW(A911)-1))," ")</f>
        <v xml:space="preserve"> </v>
      </c>
    </row>
    <row r="913" spans="24:24" x14ac:dyDescent="0.25">
      <c r="X913" s="37" t="str">
        <f>IFERROR(INDEX(tabSource[Artikel],SMALL(tabSource[Liste],COUNTIF(tabSource[Liste],"=0")+ROW(A912)-1))," ")</f>
        <v xml:space="preserve"> </v>
      </c>
    </row>
    <row r="914" spans="24:24" x14ac:dyDescent="0.25">
      <c r="X914" s="37" t="str">
        <f>IFERROR(INDEX(tabSource[Artikel],SMALL(tabSource[Liste],COUNTIF(tabSource[Liste],"=0")+ROW(A913)-1))," ")</f>
        <v xml:space="preserve"> </v>
      </c>
    </row>
    <row r="915" spans="24:24" x14ac:dyDescent="0.25">
      <c r="X915" s="37" t="str">
        <f>IFERROR(INDEX(tabSource[Artikel],SMALL(tabSource[Liste],COUNTIF(tabSource[Liste],"=0")+ROW(A914)-1))," ")</f>
        <v xml:space="preserve"> </v>
      </c>
    </row>
    <row r="916" spans="24:24" x14ac:dyDescent="0.25">
      <c r="X916" s="37" t="str">
        <f>IFERROR(INDEX(tabSource[Artikel],SMALL(tabSource[Liste],COUNTIF(tabSource[Liste],"=0")+ROW(A915)-1))," ")</f>
        <v xml:space="preserve"> </v>
      </c>
    </row>
    <row r="917" spans="24:24" x14ac:dyDescent="0.25">
      <c r="X917" s="37" t="str">
        <f>IFERROR(INDEX(tabSource[Artikel],SMALL(tabSource[Liste],COUNTIF(tabSource[Liste],"=0")+ROW(A916)-1))," ")</f>
        <v xml:space="preserve"> </v>
      </c>
    </row>
    <row r="918" spans="24:24" x14ac:dyDescent="0.25">
      <c r="X918" s="37" t="str">
        <f>IFERROR(INDEX(tabSource[Artikel],SMALL(tabSource[Liste],COUNTIF(tabSource[Liste],"=0")+ROW(A917)-1))," ")</f>
        <v xml:space="preserve"> </v>
      </c>
    </row>
    <row r="919" spans="24:24" x14ac:dyDescent="0.25">
      <c r="X919" s="37" t="str">
        <f>IFERROR(INDEX(tabSource[Artikel],SMALL(tabSource[Liste],COUNTIF(tabSource[Liste],"=0")+ROW(A918)-1))," ")</f>
        <v xml:space="preserve"> </v>
      </c>
    </row>
    <row r="920" spans="24:24" x14ac:dyDescent="0.25">
      <c r="X920" s="37" t="str">
        <f>IFERROR(INDEX(tabSource[Artikel],SMALL(tabSource[Liste],COUNTIF(tabSource[Liste],"=0")+ROW(A919)-1))," ")</f>
        <v xml:space="preserve"> </v>
      </c>
    </row>
    <row r="921" spans="24:24" x14ac:dyDescent="0.25">
      <c r="X921" s="37" t="str">
        <f>IFERROR(INDEX(tabSource[Artikel],SMALL(tabSource[Liste],COUNTIF(tabSource[Liste],"=0")+ROW(A920)-1))," ")</f>
        <v xml:space="preserve"> </v>
      </c>
    </row>
    <row r="922" spans="24:24" x14ac:dyDescent="0.25">
      <c r="X922" s="37" t="str">
        <f>IFERROR(INDEX(tabSource[Artikel],SMALL(tabSource[Liste],COUNTIF(tabSource[Liste],"=0")+ROW(A921)-1))," ")</f>
        <v xml:space="preserve"> </v>
      </c>
    </row>
    <row r="923" spans="24:24" x14ac:dyDescent="0.25">
      <c r="X923" s="37" t="str">
        <f>IFERROR(INDEX(tabSource[Artikel],SMALL(tabSource[Liste],COUNTIF(tabSource[Liste],"=0")+ROW(A922)-1))," ")</f>
        <v xml:space="preserve"> </v>
      </c>
    </row>
    <row r="924" spans="24:24" x14ac:dyDescent="0.25">
      <c r="X924" s="37" t="str">
        <f>IFERROR(INDEX(tabSource[Artikel],SMALL(tabSource[Liste],COUNTIF(tabSource[Liste],"=0")+ROW(A923)-1))," ")</f>
        <v xml:space="preserve"> </v>
      </c>
    </row>
    <row r="925" spans="24:24" x14ac:dyDescent="0.25">
      <c r="X925" s="37" t="str">
        <f>IFERROR(INDEX(tabSource[Artikel],SMALL(tabSource[Liste],COUNTIF(tabSource[Liste],"=0")+ROW(A924)-1))," ")</f>
        <v xml:space="preserve"> </v>
      </c>
    </row>
    <row r="926" spans="24:24" x14ac:dyDescent="0.25">
      <c r="X926" s="37" t="str">
        <f>IFERROR(INDEX(tabSource[Artikel],SMALL(tabSource[Liste],COUNTIF(tabSource[Liste],"=0")+ROW(A925)-1))," ")</f>
        <v xml:space="preserve"> </v>
      </c>
    </row>
    <row r="927" spans="24:24" x14ac:dyDescent="0.25">
      <c r="X927" s="37" t="str">
        <f>IFERROR(INDEX(tabSource[Artikel],SMALL(tabSource[Liste],COUNTIF(tabSource[Liste],"=0")+ROW(A926)-1))," ")</f>
        <v xml:space="preserve"> </v>
      </c>
    </row>
    <row r="928" spans="24:24" x14ac:dyDescent="0.25">
      <c r="X928" s="37" t="str">
        <f>IFERROR(INDEX(tabSource[Artikel],SMALL(tabSource[Liste],COUNTIF(tabSource[Liste],"=0")+ROW(A927)-1))," ")</f>
        <v xml:space="preserve"> </v>
      </c>
    </row>
    <row r="929" spans="24:24" x14ac:dyDescent="0.25">
      <c r="X929" s="37" t="str">
        <f>IFERROR(INDEX(tabSource[Artikel],SMALL(tabSource[Liste],COUNTIF(tabSource[Liste],"=0")+ROW(A928)-1))," ")</f>
        <v xml:space="preserve"> </v>
      </c>
    </row>
    <row r="930" spans="24:24" x14ac:dyDescent="0.25">
      <c r="X930" s="37" t="str">
        <f>IFERROR(INDEX(tabSource[Artikel],SMALL(tabSource[Liste],COUNTIF(tabSource[Liste],"=0")+ROW(A929)-1))," ")</f>
        <v xml:space="preserve"> </v>
      </c>
    </row>
    <row r="931" spans="24:24" x14ac:dyDescent="0.25">
      <c r="X931" s="37" t="str">
        <f>IFERROR(INDEX(tabSource[Artikel],SMALL(tabSource[Liste],COUNTIF(tabSource[Liste],"=0")+ROW(A930)-1))," ")</f>
        <v xml:space="preserve"> </v>
      </c>
    </row>
    <row r="932" spans="24:24" x14ac:dyDescent="0.25">
      <c r="X932" s="37" t="str">
        <f>IFERROR(INDEX(tabSource[Artikel],SMALL(tabSource[Liste],COUNTIF(tabSource[Liste],"=0")+ROW(A931)-1))," ")</f>
        <v xml:space="preserve"> </v>
      </c>
    </row>
    <row r="933" spans="24:24" x14ac:dyDescent="0.25">
      <c r="X933" s="37" t="str">
        <f>IFERROR(INDEX(tabSource[Artikel],SMALL(tabSource[Liste],COUNTIF(tabSource[Liste],"=0")+ROW(A932)-1))," ")</f>
        <v xml:space="preserve"> </v>
      </c>
    </row>
    <row r="934" spans="24:24" x14ac:dyDescent="0.25">
      <c r="X934" s="37" t="str">
        <f>IFERROR(INDEX(tabSource[Artikel],SMALL(tabSource[Liste],COUNTIF(tabSource[Liste],"=0")+ROW(A933)-1))," ")</f>
        <v xml:space="preserve"> </v>
      </c>
    </row>
    <row r="935" spans="24:24" x14ac:dyDescent="0.25">
      <c r="X935" s="37" t="str">
        <f>IFERROR(INDEX(tabSource[Artikel],SMALL(tabSource[Liste],COUNTIF(tabSource[Liste],"=0")+ROW(A934)-1))," ")</f>
        <v xml:space="preserve"> </v>
      </c>
    </row>
    <row r="936" spans="24:24" x14ac:dyDescent="0.25">
      <c r="X936" s="37" t="str">
        <f>IFERROR(INDEX(tabSource[Artikel],SMALL(tabSource[Liste],COUNTIF(tabSource[Liste],"=0")+ROW(A935)-1))," ")</f>
        <v xml:space="preserve"> </v>
      </c>
    </row>
    <row r="937" spans="24:24" x14ac:dyDescent="0.25">
      <c r="X937" s="37" t="str">
        <f>IFERROR(INDEX(tabSource[Artikel],SMALL(tabSource[Liste],COUNTIF(tabSource[Liste],"=0")+ROW(A936)-1))," ")</f>
        <v xml:space="preserve"> </v>
      </c>
    </row>
    <row r="938" spans="24:24" x14ac:dyDescent="0.25">
      <c r="X938" s="37" t="str">
        <f>IFERROR(INDEX(tabSource[Artikel],SMALL(tabSource[Liste],COUNTIF(tabSource[Liste],"=0")+ROW(A937)-1))," ")</f>
        <v xml:space="preserve"> </v>
      </c>
    </row>
    <row r="939" spans="24:24" x14ac:dyDescent="0.25">
      <c r="X939" s="37" t="str">
        <f>IFERROR(INDEX(tabSource[Artikel],SMALL(tabSource[Liste],COUNTIF(tabSource[Liste],"=0")+ROW(A938)-1))," ")</f>
        <v xml:space="preserve"> </v>
      </c>
    </row>
    <row r="940" spans="24:24" x14ac:dyDescent="0.25">
      <c r="X940" s="37" t="str">
        <f>IFERROR(INDEX(tabSource[Artikel],SMALL(tabSource[Liste],COUNTIF(tabSource[Liste],"=0")+ROW(A939)-1))," ")</f>
        <v xml:space="preserve"> </v>
      </c>
    </row>
    <row r="941" spans="24:24" x14ac:dyDescent="0.25">
      <c r="X941" s="37" t="str">
        <f>IFERROR(INDEX(tabSource[Artikel],SMALL(tabSource[Liste],COUNTIF(tabSource[Liste],"=0")+ROW(A940)-1))," ")</f>
        <v xml:space="preserve"> </v>
      </c>
    </row>
    <row r="942" spans="24:24" x14ac:dyDescent="0.25">
      <c r="X942" s="37" t="str">
        <f>IFERROR(INDEX(tabSource[Artikel],SMALL(tabSource[Liste],COUNTIF(tabSource[Liste],"=0")+ROW(A941)-1))," ")</f>
        <v xml:space="preserve"> </v>
      </c>
    </row>
    <row r="943" spans="24:24" x14ac:dyDescent="0.25">
      <c r="X943" s="37" t="str">
        <f>IFERROR(INDEX(tabSource[Artikel],SMALL(tabSource[Liste],COUNTIF(tabSource[Liste],"=0")+ROW(A942)-1))," ")</f>
        <v xml:space="preserve"> </v>
      </c>
    </row>
    <row r="944" spans="24:24" x14ac:dyDescent="0.25">
      <c r="X944" s="37" t="str">
        <f>IFERROR(INDEX(tabSource[Artikel],SMALL(tabSource[Liste],COUNTIF(tabSource[Liste],"=0")+ROW(A943)-1))," ")</f>
        <v xml:space="preserve"> </v>
      </c>
    </row>
    <row r="945" spans="24:24" x14ac:dyDescent="0.25">
      <c r="X945" s="37" t="str">
        <f>IFERROR(INDEX(tabSource[Artikel],SMALL(tabSource[Liste],COUNTIF(tabSource[Liste],"=0")+ROW(A944)-1))," ")</f>
        <v xml:space="preserve"> </v>
      </c>
    </row>
    <row r="946" spans="24:24" x14ac:dyDescent="0.25">
      <c r="X946" s="37" t="str">
        <f>IFERROR(INDEX(tabSource[Artikel],SMALL(tabSource[Liste],COUNTIF(tabSource[Liste],"=0")+ROW(A945)-1))," ")</f>
        <v xml:space="preserve"> </v>
      </c>
    </row>
    <row r="947" spans="24:24" x14ac:dyDescent="0.25">
      <c r="X947" s="37" t="str">
        <f>IFERROR(INDEX(tabSource[Artikel],SMALL(tabSource[Liste],COUNTIF(tabSource[Liste],"=0")+ROW(A946)-1))," ")</f>
        <v xml:space="preserve"> </v>
      </c>
    </row>
    <row r="948" spans="24:24" x14ac:dyDescent="0.25">
      <c r="X948" s="37" t="str">
        <f>IFERROR(INDEX(tabSource[Artikel],SMALL(tabSource[Liste],COUNTIF(tabSource[Liste],"=0")+ROW(A947)-1))," ")</f>
        <v xml:space="preserve"> </v>
      </c>
    </row>
    <row r="949" spans="24:24" x14ac:dyDescent="0.25">
      <c r="X949" s="37" t="str">
        <f>IFERROR(INDEX(tabSource[Artikel],SMALL(tabSource[Liste],COUNTIF(tabSource[Liste],"=0")+ROW(A948)-1))," ")</f>
        <v xml:space="preserve"> </v>
      </c>
    </row>
    <row r="950" spans="24:24" x14ac:dyDescent="0.25">
      <c r="X950" s="37" t="str">
        <f>IFERROR(INDEX(tabSource[Artikel],SMALL(tabSource[Liste],COUNTIF(tabSource[Liste],"=0")+ROW(A949)-1))," ")</f>
        <v xml:space="preserve"> </v>
      </c>
    </row>
    <row r="951" spans="24:24" x14ac:dyDescent="0.25">
      <c r="X951" s="37" t="str">
        <f>IFERROR(INDEX(tabSource[Artikel],SMALL(tabSource[Liste],COUNTIF(tabSource[Liste],"=0")+ROW(A950)-1))," ")</f>
        <v xml:space="preserve"> </v>
      </c>
    </row>
    <row r="952" spans="24:24" x14ac:dyDescent="0.25">
      <c r="X952" s="37" t="str">
        <f>IFERROR(INDEX(tabSource[Artikel],SMALL(tabSource[Liste],COUNTIF(tabSource[Liste],"=0")+ROW(A951)-1))," ")</f>
        <v xml:space="preserve"> </v>
      </c>
    </row>
    <row r="953" spans="24:24" x14ac:dyDescent="0.25">
      <c r="X953" s="37" t="str">
        <f>IFERROR(INDEX(tabSource[Artikel],SMALL(tabSource[Liste],COUNTIF(tabSource[Liste],"=0")+ROW(A952)-1))," ")</f>
        <v xml:space="preserve"> </v>
      </c>
    </row>
    <row r="954" spans="24:24" x14ac:dyDescent="0.25">
      <c r="X954" s="37" t="str">
        <f>IFERROR(INDEX(tabSource[Artikel],SMALL(tabSource[Liste],COUNTIF(tabSource[Liste],"=0")+ROW(A953)-1))," ")</f>
        <v xml:space="preserve"> </v>
      </c>
    </row>
    <row r="955" spans="24:24" x14ac:dyDescent="0.25">
      <c r="X955" s="37" t="str">
        <f>IFERROR(INDEX(tabSource[Artikel],SMALL(tabSource[Liste],COUNTIF(tabSource[Liste],"=0")+ROW(A954)-1))," ")</f>
        <v xml:space="preserve"> </v>
      </c>
    </row>
    <row r="956" spans="24:24" x14ac:dyDescent="0.25">
      <c r="X956" s="37" t="str">
        <f>IFERROR(INDEX(tabSource[Artikel],SMALL(tabSource[Liste],COUNTIF(tabSource[Liste],"=0")+ROW(A955)-1))," ")</f>
        <v xml:space="preserve"> </v>
      </c>
    </row>
    <row r="957" spans="24:24" x14ac:dyDescent="0.25">
      <c r="X957" s="37" t="str">
        <f>IFERROR(INDEX(tabSource[Artikel],SMALL(tabSource[Liste],COUNTIF(tabSource[Liste],"=0")+ROW(A956)-1))," ")</f>
        <v xml:space="preserve"> </v>
      </c>
    </row>
    <row r="958" spans="24:24" x14ac:dyDescent="0.25">
      <c r="X958" s="37" t="str">
        <f>IFERROR(INDEX(tabSource[Artikel],SMALL(tabSource[Liste],COUNTIF(tabSource[Liste],"=0")+ROW(A957)-1))," ")</f>
        <v xml:space="preserve"> </v>
      </c>
    </row>
    <row r="959" spans="24:24" x14ac:dyDescent="0.25">
      <c r="X959" s="37" t="str">
        <f>IFERROR(INDEX(tabSource[Artikel],SMALL(tabSource[Liste],COUNTIF(tabSource[Liste],"=0")+ROW(A958)-1))," ")</f>
        <v xml:space="preserve"> </v>
      </c>
    </row>
    <row r="960" spans="24:24" x14ac:dyDescent="0.25">
      <c r="X960" s="37" t="str">
        <f>IFERROR(INDEX(tabSource[Artikel],SMALL(tabSource[Liste],COUNTIF(tabSource[Liste],"=0")+ROW(A959)-1))," ")</f>
        <v xml:space="preserve"> </v>
      </c>
    </row>
    <row r="961" spans="24:24" x14ac:dyDescent="0.25">
      <c r="X961" s="37" t="str">
        <f>IFERROR(INDEX(tabSource[Artikel],SMALL(tabSource[Liste],COUNTIF(tabSource[Liste],"=0")+ROW(A960)-1))," ")</f>
        <v xml:space="preserve"> </v>
      </c>
    </row>
    <row r="962" spans="24:24" x14ac:dyDescent="0.25">
      <c r="X962" s="37" t="str">
        <f>IFERROR(INDEX(tabSource[Artikel],SMALL(tabSource[Liste],COUNTIF(tabSource[Liste],"=0")+ROW(A961)-1))," ")</f>
        <v xml:space="preserve"> </v>
      </c>
    </row>
    <row r="963" spans="24:24" x14ac:dyDescent="0.25">
      <c r="X963" s="37" t="str">
        <f>IFERROR(INDEX(tabSource[Artikel],SMALL(tabSource[Liste],COUNTIF(tabSource[Liste],"=0")+ROW(A962)-1))," ")</f>
        <v xml:space="preserve"> </v>
      </c>
    </row>
    <row r="964" spans="24:24" x14ac:dyDescent="0.25">
      <c r="X964" s="37" t="str">
        <f>IFERROR(INDEX(tabSource[Artikel],SMALL(tabSource[Liste],COUNTIF(tabSource[Liste],"=0")+ROW(A963)-1))," ")</f>
        <v xml:space="preserve"> </v>
      </c>
    </row>
    <row r="965" spans="24:24" x14ac:dyDescent="0.25">
      <c r="X965" s="37" t="str">
        <f>IFERROR(INDEX(tabSource[Artikel],SMALL(tabSource[Liste],COUNTIF(tabSource[Liste],"=0")+ROW(A964)-1))," ")</f>
        <v xml:space="preserve"> </v>
      </c>
    </row>
    <row r="966" spans="24:24" x14ac:dyDescent="0.25">
      <c r="X966" s="37" t="str">
        <f>IFERROR(INDEX(tabSource[Artikel],SMALL(tabSource[Liste],COUNTIF(tabSource[Liste],"=0")+ROW(A965)-1))," ")</f>
        <v xml:space="preserve"> </v>
      </c>
    </row>
    <row r="967" spans="24:24" x14ac:dyDescent="0.25">
      <c r="X967" s="37" t="str">
        <f>IFERROR(INDEX(tabSource[Artikel],SMALL(tabSource[Liste],COUNTIF(tabSource[Liste],"=0")+ROW(A966)-1))," ")</f>
        <v xml:space="preserve"> </v>
      </c>
    </row>
    <row r="968" spans="24:24" x14ac:dyDescent="0.25">
      <c r="X968" s="37" t="str">
        <f>IFERROR(INDEX(tabSource[Artikel],SMALL(tabSource[Liste],COUNTIF(tabSource[Liste],"=0")+ROW(A967)-1))," ")</f>
        <v xml:space="preserve"> </v>
      </c>
    </row>
    <row r="969" spans="24:24" x14ac:dyDescent="0.25">
      <c r="X969" s="37" t="str">
        <f>IFERROR(INDEX(tabSource[Artikel],SMALL(tabSource[Liste],COUNTIF(tabSource[Liste],"=0")+ROW(A968)-1))," ")</f>
        <v xml:space="preserve"> </v>
      </c>
    </row>
    <row r="970" spans="24:24" x14ac:dyDescent="0.25">
      <c r="X970" s="37" t="str">
        <f>IFERROR(INDEX(tabSource[Artikel],SMALL(tabSource[Liste],COUNTIF(tabSource[Liste],"=0")+ROW(A969)-1))," ")</f>
        <v xml:space="preserve"> </v>
      </c>
    </row>
    <row r="971" spans="24:24" x14ac:dyDescent="0.25">
      <c r="X971" s="37" t="str">
        <f>IFERROR(INDEX(tabSource[Artikel],SMALL(tabSource[Liste],COUNTIF(tabSource[Liste],"=0")+ROW(A970)-1))," ")</f>
        <v xml:space="preserve"> </v>
      </c>
    </row>
    <row r="972" spans="24:24" x14ac:dyDescent="0.25">
      <c r="X972" s="37" t="str">
        <f>IFERROR(INDEX(tabSource[Artikel],SMALL(tabSource[Liste],COUNTIF(tabSource[Liste],"=0")+ROW(A971)-1))," ")</f>
        <v xml:space="preserve"> </v>
      </c>
    </row>
    <row r="973" spans="24:24" x14ac:dyDescent="0.25">
      <c r="X973" s="37" t="str">
        <f>IFERROR(INDEX(tabSource[Artikel],SMALL(tabSource[Liste],COUNTIF(tabSource[Liste],"=0")+ROW(A972)-1))," ")</f>
        <v xml:space="preserve"> </v>
      </c>
    </row>
    <row r="974" spans="24:24" x14ac:dyDescent="0.25">
      <c r="X974" s="37" t="str">
        <f>IFERROR(INDEX(tabSource[Artikel],SMALL(tabSource[Liste],COUNTIF(tabSource[Liste],"=0")+ROW(A973)-1))," ")</f>
        <v xml:space="preserve"> </v>
      </c>
    </row>
    <row r="975" spans="24:24" x14ac:dyDescent="0.25">
      <c r="X975" s="37" t="str">
        <f>IFERROR(INDEX(tabSource[Artikel],SMALL(tabSource[Liste],COUNTIF(tabSource[Liste],"=0")+ROW(A974)-1))," ")</f>
        <v xml:space="preserve"> </v>
      </c>
    </row>
    <row r="976" spans="24:24" x14ac:dyDescent="0.25">
      <c r="X976" s="37" t="str">
        <f>IFERROR(INDEX(tabSource[Artikel],SMALL(tabSource[Liste],COUNTIF(tabSource[Liste],"=0")+ROW(A975)-1))," ")</f>
        <v xml:space="preserve"> </v>
      </c>
    </row>
    <row r="977" spans="24:24" x14ac:dyDescent="0.25">
      <c r="X977" s="37" t="str">
        <f>IFERROR(INDEX(tabSource[Artikel],SMALL(tabSource[Liste],COUNTIF(tabSource[Liste],"=0")+ROW(A976)-1))," ")</f>
        <v xml:space="preserve"> </v>
      </c>
    </row>
    <row r="978" spans="24:24" x14ac:dyDescent="0.25">
      <c r="X978" s="37" t="str">
        <f>IFERROR(INDEX(tabSource[Artikel],SMALL(tabSource[Liste],COUNTIF(tabSource[Liste],"=0")+ROW(A977)-1))," ")</f>
        <v xml:space="preserve"> </v>
      </c>
    </row>
    <row r="979" spans="24:24" x14ac:dyDescent="0.25">
      <c r="X979" s="37" t="str">
        <f>IFERROR(INDEX(tabSource[Artikel],SMALL(tabSource[Liste],COUNTIF(tabSource[Liste],"=0")+ROW(A978)-1))," ")</f>
        <v xml:space="preserve"> </v>
      </c>
    </row>
    <row r="980" spans="24:24" x14ac:dyDescent="0.25">
      <c r="X980" s="37" t="str">
        <f>IFERROR(INDEX(tabSource[Artikel],SMALL(tabSource[Liste],COUNTIF(tabSource[Liste],"=0")+ROW(A979)-1))," ")</f>
        <v xml:space="preserve"> </v>
      </c>
    </row>
    <row r="981" spans="24:24" x14ac:dyDescent="0.25">
      <c r="X981" s="37" t="str">
        <f>IFERROR(INDEX(tabSource[Artikel],SMALL(tabSource[Liste],COUNTIF(tabSource[Liste],"=0")+ROW(A980)-1))," ")</f>
        <v xml:space="preserve"> </v>
      </c>
    </row>
    <row r="982" spans="24:24" x14ac:dyDescent="0.25">
      <c r="X982" s="37" t="str">
        <f>IFERROR(INDEX(tabSource[Artikel],SMALL(tabSource[Liste],COUNTIF(tabSource[Liste],"=0")+ROW(A981)-1))," ")</f>
        <v xml:space="preserve"> </v>
      </c>
    </row>
    <row r="983" spans="24:24" x14ac:dyDescent="0.25">
      <c r="X983" s="37" t="str">
        <f>IFERROR(INDEX(tabSource[Artikel],SMALL(tabSource[Liste],COUNTIF(tabSource[Liste],"=0")+ROW(A982)-1))," ")</f>
        <v xml:space="preserve"> </v>
      </c>
    </row>
    <row r="984" spans="24:24" x14ac:dyDescent="0.25">
      <c r="X984" s="37" t="str">
        <f>IFERROR(INDEX(tabSource[Artikel],SMALL(tabSource[Liste],COUNTIF(tabSource[Liste],"=0")+ROW(A983)-1))," ")</f>
        <v xml:space="preserve"> </v>
      </c>
    </row>
    <row r="985" spans="24:24" x14ac:dyDescent="0.25">
      <c r="X985" s="37" t="str">
        <f>IFERROR(INDEX(tabSource[Artikel],SMALL(tabSource[Liste],COUNTIF(tabSource[Liste],"=0")+ROW(A984)-1))," ")</f>
        <v xml:space="preserve"> </v>
      </c>
    </row>
    <row r="986" spans="24:24" x14ac:dyDescent="0.25">
      <c r="X986" s="37" t="str">
        <f>IFERROR(INDEX(tabSource[Artikel],SMALL(tabSource[Liste],COUNTIF(tabSource[Liste],"=0")+ROW(A985)-1))," ")</f>
        <v xml:space="preserve"> </v>
      </c>
    </row>
    <row r="987" spans="24:24" x14ac:dyDescent="0.25">
      <c r="X987" s="37" t="str">
        <f>IFERROR(INDEX(tabSource[Artikel],SMALL(tabSource[Liste],COUNTIF(tabSource[Liste],"=0")+ROW(A986)-1))," ")</f>
        <v xml:space="preserve"> </v>
      </c>
    </row>
    <row r="988" spans="24:24" x14ac:dyDescent="0.25">
      <c r="X988" s="37" t="str">
        <f>IFERROR(INDEX(tabSource[Artikel],SMALL(tabSource[Liste],COUNTIF(tabSource[Liste],"=0")+ROW(A987)-1))," ")</f>
        <v xml:space="preserve"> </v>
      </c>
    </row>
    <row r="989" spans="24:24" x14ac:dyDescent="0.25">
      <c r="X989" s="37" t="str">
        <f>IFERROR(INDEX(tabSource[Artikel],SMALL(tabSource[Liste],COUNTIF(tabSource[Liste],"=0")+ROW(A988)-1))," ")</f>
        <v xml:space="preserve"> </v>
      </c>
    </row>
    <row r="990" spans="24:24" x14ac:dyDescent="0.25">
      <c r="X990" s="37" t="str">
        <f>IFERROR(INDEX(tabSource[Artikel],SMALL(tabSource[Liste],COUNTIF(tabSource[Liste],"=0")+ROW(A989)-1))," ")</f>
        <v xml:space="preserve"> </v>
      </c>
    </row>
    <row r="991" spans="24:24" x14ac:dyDescent="0.25">
      <c r="X991" s="37" t="str">
        <f>IFERROR(INDEX(tabSource[Artikel],SMALL(tabSource[Liste],COUNTIF(tabSource[Liste],"=0")+ROW(A990)-1))," ")</f>
        <v xml:space="preserve"> </v>
      </c>
    </row>
    <row r="992" spans="24:24" x14ac:dyDescent="0.25">
      <c r="X992" s="37" t="str">
        <f>IFERROR(INDEX(tabSource[Artikel],SMALL(tabSource[Liste],COUNTIF(tabSource[Liste],"=0")+ROW(A991)-1))," ")</f>
        <v xml:space="preserve"> </v>
      </c>
    </row>
    <row r="993" spans="24:24" x14ac:dyDescent="0.25">
      <c r="X993" s="37" t="str">
        <f>IFERROR(INDEX(tabSource[Artikel],SMALL(tabSource[Liste],COUNTIF(tabSource[Liste],"=0")+ROW(A992)-1))," ")</f>
        <v xml:space="preserve"> </v>
      </c>
    </row>
    <row r="994" spans="24:24" x14ac:dyDescent="0.25">
      <c r="X994" s="37" t="str">
        <f>IFERROR(INDEX(tabSource[Artikel],SMALL(tabSource[Liste],COUNTIF(tabSource[Liste],"=0")+ROW(A993)-1))," ")</f>
        <v xml:space="preserve"> </v>
      </c>
    </row>
    <row r="995" spans="24:24" x14ac:dyDescent="0.25">
      <c r="X995" s="37" t="str">
        <f>IFERROR(INDEX(tabSource[Artikel],SMALL(tabSource[Liste],COUNTIF(tabSource[Liste],"=0")+ROW(A994)-1))," ")</f>
        <v xml:space="preserve"> </v>
      </c>
    </row>
    <row r="996" spans="24:24" x14ac:dyDescent="0.25">
      <c r="X996" s="37" t="str">
        <f>IFERROR(INDEX(tabSource[Artikel],SMALL(tabSource[Liste],COUNTIF(tabSource[Liste],"=0")+ROW(A995)-1))," ")</f>
        <v xml:space="preserve"> </v>
      </c>
    </row>
    <row r="997" spans="24:24" x14ac:dyDescent="0.25">
      <c r="X997" s="37" t="str">
        <f>IFERROR(INDEX(tabSource[Artikel],SMALL(tabSource[Liste],COUNTIF(tabSource[Liste],"=0")+ROW(A996)-1))," ")</f>
        <v xml:space="preserve"> </v>
      </c>
    </row>
    <row r="998" spans="24:24" x14ac:dyDescent="0.25">
      <c r="X998" s="37" t="str">
        <f>IFERROR(INDEX(tabSource[Artikel],SMALL(tabSource[Liste],COUNTIF(tabSource[Liste],"=0")+ROW(A997)-1))," ")</f>
        <v xml:space="preserve"> </v>
      </c>
    </row>
    <row r="999" spans="24:24" x14ac:dyDescent="0.25">
      <c r="X999" s="37" t="str">
        <f>IFERROR(INDEX(tabSource[Artikel],SMALL(tabSource[Liste],COUNTIF(tabSource[Liste],"=0")+ROW(A998)-1))," ")</f>
        <v xml:space="preserve"> </v>
      </c>
    </row>
    <row r="1000" spans="24:24" x14ac:dyDescent="0.25">
      <c r="X1000" s="37" t="str">
        <f>IFERROR(INDEX(tabSource[Artikel],SMALL(tabSource[Liste],COUNTIF(tabSource[Liste],"=0")+ROW(A999)-1))," ")</f>
        <v xml:space="preserve"> </v>
      </c>
    </row>
    <row r="1001" spans="24:24" x14ac:dyDescent="0.25">
      <c r="X1001" s="37" t="str">
        <f>IFERROR(INDEX(tabSource[Artikel],SMALL(tabSource[Liste],COUNTIF(tabSource[Liste],"=0")+ROW(A1000)-1))," ")</f>
        <v xml:space="preserve"> </v>
      </c>
    </row>
  </sheetData>
  <sheetProtection sheet="1" objects="1" scenarios="1" selectLockedCells="1"/>
  <dataValidations disablePrompts="1" count="1">
    <dataValidation type="custom" allowBlank="1" showInputMessage="1" showErrorMessage="1" sqref="AG29" xr:uid="{00000000-0002-0000-0100-000000000000}">
      <formula1>CHOOSE(MATCH(Sprache.Interface,Filter.Sprache,0),Text.DEU,Text.ITA,Text.ENG)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D2:D5" calculatedColumn="1"/>
  </ignoredErrors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T2021"/>
  <sheetViews>
    <sheetView workbookViewId="0"/>
  </sheetViews>
  <sheetFormatPr baseColWidth="10" defaultRowHeight="15" x14ac:dyDescent="0.25"/>
  <cols>
    <col min="1" max="2" width="7.42578125" bestFit="1" customWidth="1"/>
    <col min="3" max="3" width="15.140625" bestFit="1" customWidth="1"/>
    <col min="4" max="4" width="17.28515625" bestFit="1" customWidth="1"/>
    <col min="5" max="5" width="27" bestFit="1" customWidth="1"/>
    <col min="6" max="6" width="59.85546875" bestFit="1" customWidth="1"/>
    <col min="7" max="7" width="5.42578125" bestFit="1" customWidth="1"/>
    <col min="8" max="8" width="7.85546875" customWidth="1"/>
    <col min="9" max="9" width="27" bestFit="1" customWidth="1"/>
    <col min="10" max="10" width="8.42578125" customWidth="1"/>
    <col min="11" max="11" width="28" bestFit="1" customWidth="1"/>
    <col min="12" max="12" width="19.5703125" customWidth="1"/>
    <col min="13" max="13" width="8.85546875" customWidth="1"/>
    <col min="14" max="14" width="13" bestFit="1" customWidth="1"/>
    <col min="15" max="15" width="9.7109375" customWidth="1"/>
    <col min="16" max="16" width="11.28515625" bestFit="1" customWidth="1"/>
    <col min="17" max="17" width="10.7109375" bestFit="1" customWidth="1"/>
    <col min="18" max="18" width="12" customWidth="1"/>
    <col min="19" max="20" width="12" bestFit="1" customWidth="1"/>
    <col min="23" max="23" width="11.28515625" customWidth="1"/>
    <col min="24" max="24" width="15" bestFit="1" customWidth="1"/>
    <col min="25" max="25" width="11.7109375" bestFit="1" customWidth="1"/>
    <col min="26" max="26" width="13.5703125" bestFit="1" customWidth="1"/>
    <col min="27" max="27" width="10.7109375" bestFit="1" customWidth="1"/>
    <col min="28" max="28" width="10" bestFit="1" customWidth="1"/>
    <col min="29" max="29" width="17.28515625" bestFit="1" customWidth="1"/>
    <col min="30" max="30" width="12.85546875" bestFit="1" customWidth="1"/>
    <col min="31" max="31" width="17.85546875" bestFit="1" customWidth="1"/>
    <col min="32" max="32" width="7.42578125" bestFit="1" customWidth="1"/>
    <col min="33" max="33" width="12.7109375" bestFit="1" customWidth="1"/>
    <col min="34" max="34" width="18" bestFit="1" customWidth="1"/>
    <col min="35" max="35" width="8.42578125" bestFit="1" customWidth="1"/>
    <col min="36" max="36" width="39" bestFit="1" customWidth="1"/>
    <col min="37" max="37" width="21.5703125" bestFit="1" customWidth="1"/>
    <col min="38" max="38" width="10.85546875" bestFit="1" customWidth="1"/>
    <col min="39" max="39" width="15" bestFit="1" customWidth="1"/>
    <col min="40" max="40" width="11.7109375" bestFit="1" customWidth="1"/>
    <col min="41" max="41" width="13.5703125" bestFit="1" customWidth="1"/>
    <col min="42" max="42" width="10.7109375" bestFit="1" customWidth="1"/>
    <col min="43" max="43" width="10" bestFit="1" customWidth="1"/>
  </cols>
  <sheetData>
    <row r="1" spans="1:20" x14ac:dyDescent="0.25">
      <c r="A1" t="s">
        <v>10</v>
      </c>
      <c r="B1" t="s">
        <v>46</v>
      </c>
      <c r="C1" t="s">
        <v>8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x14ac:dyDescent="0.25">
      <c r="A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" t="str">
        <f>SUBSTITUTE(SUBSTITUTE(tabSource[[#This Row],[ID]],"&lt;",""),"&gt;","")</f>
        <v>11865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 x14ac:dyDescent="0.25">
      <c r="A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" t="str">
        <f>SUBSTITUTE(SUBSTITUTE(tabSource[[#This Row],[ID]],"&lt;",""),"&gt;","")</f>
        <v>20672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x14ac:dyDescent="0.25">
      <c r="A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" t="str">
        <f>SUBSTITUTE(SUBSTITUTE(tabSource[[#This Row],[ID]],"&lt;",""),"&gt;","")</f>
        <v>20672-V4A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x14ac:dyDescent="0.25">
      <c r="A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" t="str">
        <f>SUBSTITUTE(SUBSTITUTE(tabSource[[#This Row],[ID]],"&lt;",""),"&gt;","")</f>
        <v>20672-V4A-P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x14ac:dyDescent="0.25">
      <c r="A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" t="str">
        <f>SUBSTITUTE(SUBSTITUTE(tabSource[[#This Row],[ID]],"&lt;",""),"&gt;","")</f>
        <v>20674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x14ac:dyDescent="0.25">
      <c r="A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" t="str">
        <f>SUBSTITUTE(SUBSTITUTE(tabSource[[#This Row],[ID]],"&lt;",""),"&gt;","")</f>
        <v>20676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x14ac:dyDescent="0.25">
      <c r="A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" t="str">
        <f>SUBSTITUTE(SUBSTITUTE(tabSource[[#This Row],[ID]],"&lt;",""),"&gt;","")</f>
        <v>20678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x14ac:dyDescent="0.25">
      <c r="A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" t="str">
        <f>SUBSTITUTE(SUBSTITUTE(tabSource[[#This Row],[ID]],"&lt;",""),"&gt;","")</f>
        <v>20680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x14ac:dyDescent="0.25">
      <c r="A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" t="str">
        <f>SUBSTITUTE(SUBSTITUTE(tabSource[[#This Row],[ID]],"&lt;",""),"&gt;","")</f>
        <v>20680-V4A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x14ac:dyDescent="0.25">
      <c r="A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" t="str">
        <f>SUBSTITUTE(SUBSTITUTE(tabSource[[#This Row],[ID]],"&lt;",""),"&gt;","")</f>
        <v>20680-V4A-P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x14ac:dyDescent="0.25">
      <c r="A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" t="str">
        <f>SUBSTITUTE(SUBSTITUTE(tabSource[[#This Row],[ID]],"&lt;",""),"&gt;","")</f>
        <v>20681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x14ac:dyDescent="0.25">
      <c r="A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" t="str">
        <f>SUBSTITUTE(SUBSTITUTE(tabSource[[#This Row],[ID]],"&lt;",""),"&gt;","")</f>
        <v>20682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x14ac:dyDescent="0.25">
      <c r="A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" t="str">
        <f>SUBSTITUTE(SUBSTITUTE(tabSource[[#This Row],[ID]],"&lt;",""),"&gt;","")</f>
        <v>20690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x14ac:dyDescent="0.25">
      <c r="A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" t="str">
        <f>SUBSTITUTE(SUBSTITUTE(tabSource[[#This Row],[ID]],"&lt;",""),"&gt;","")</f>
        <v>20691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x14ac:dyDescent="0.25">
      <c r="A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" t="str">
        <f>SUBSTITUTE(SUBSTITUTE(tabSource[[#This Row],[ID]],"&lt;",""),"&gt;","")</f>
        <v>20692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x14ac:dyDescent="0.25">
      <c r="A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" t="str">
        <f>SUBSTITUTE(SUBSTITUTE(tabSource[[#This Row],[ID]],"&lt;",""),"&gt;","")</f>
        <v>20693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x14ac:dyDescent="0.25">
      <c r="A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" t="str">
        <f>SUBSTITUTE(SUBSTITUTE(tabSource[[#This Row],[ID]],"&lt;",""),"&gt;","")</f>
        <v>20694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x14ac:dyDescent="0.25">
      <c r="A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" t="str">
        <f>SUBSTITUTE(SUBSTITUTE(tabSource[[#This Row],[ID]],"&lt;",""),"&gt;","")</f>
        <v>20725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x14ac:dyDescent="0.25">
      <c r="A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" t="str">
        <f>SUBSTITUTE(SUBSTITUTE(tabSource[[#This Row],[ID]],"&lt;",""),"&gt;","")</f>
        <v>20725-PR</v>
      </c>
      <c r="D20"/>
      <c r="E20"/>
      <c r="F20"/>
      <c r="G20"/>
      <c r="I20"/>
      <c r="J20"/>
      <c r="K20"/>
      <c r="L20"/>
      <c r="M20"/>
      <c r="P20"/>
      <c r="Q20"/>
      <c r="R20"/>
      <c r="S20"/>
      <c r="T20"/>
    </row>
    <row r="21" spans="1:20" x14ac:dyDescent="0.25">
      <c r="A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" t="str">
        <f>SUBSTITUTE(SUBSTITUTE(tabSource[[#This Row],[ID]],"&lt;",""),"&gt;","")</f>
        <v>20725-V4A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x14ac:dyDescent="0.25">
      <c r="A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" t="str">
        <f>SUBSTITUTE(SUBSTITUTE(tabSource[[#This Row],[ID]],"&lt;",""),"&gt;","")</f>
        <v>20725-V4A-PR</v>
      </c>
      <c r="D22"/>
      <c r="E22"/>
      <c r="F22"/>
      <c r="G22"/>
      <c r="I22"/>
      <c r="J22"/>
      <c r="K22"/>
      <c r="L22"/>
      <c r="M22"/>
      <c r="P22"/>
      <c r="Q22"/>
      <c r="R22"/>
      <c r="S22"/>
      <c r="T22"/>
    </row>
    <row r="23" spans="1:20" x14ac:dyDescent="0.25">
      <c r="A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" t="str">
        <f>SUBSTITUTE(SUBSTITUTE(tabSource[[#This Row],[ID]],"&lt;",""),"&gt;","")</f>
        <v>20727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x14ac:dyDescent="0.25">
      <c r="A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" t="str">
        <f>SUBSTITUTE(SUBSTITUTE(tabSource[[#This Row],[ID]],"&lt;",""),"&gt;","")</f>
        <v>20729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x14ac:dyDescent="0.25">
      <c r="A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" t="str">
        <f>SUBSTITUTE(SUBSTITUTE(tabSource[[#This Row],[ID]],"&lt;",""),"&gt;","")</f>
        <v>20733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x14ac:dyDescent="0.25">
      <c r="A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" t="str">
        <f>SUBSTITUTE(SUBSTITUTE(tabSource[[#This Row],[ID]],"&lt;",""),"&gt;","")</f>
        <v>20735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x14ac:dyDescent="0.25">
      <c r="A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" t="str">
        <f>SUBSTITUTE(SUBSTITUTE(tabSource[[#This Row],[ID]],"&lt;",""),"&gt;","")</f>
        <v>20735-V4A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25">
      <c r="A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" t="str">
        <f>SUBSTITUTE(SUBSTITUTE(tabSource[[#This Row],[ID]],"&lt;",""),"&gt;","")</f>
        <v>20735-V4A-P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25">
      <c r="A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" t="str">
        <f>SUBSTITUTE(SUBSTITUTE(tabSource[[#This Row],[ID]],"&lt;",""),"&gt;","")</f>
        <v>20737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25">
      <c r="A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" t="str">
        <f>SUBSTITUTE(SUBSTITUTE(tabSource[[#This Row],[ID]],"&lt;",""),"&gt;","")</f>
        <v>20739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25">
      <c r="A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" t="str">
        <f>SUBSTITUTE(SUBSTITUTE(tabSource[[#This Row],[ID]],"&lt;",""),"&gt;","")</f>
        <v>20739-V4A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25">
      <c r="A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" t="str">
        <f>SUBSTITUTE(SUBSTITUTE(tabSource[[#This Row],[ID]],"&lt;",""),"&gt;","")</f>
        <v>20739-V4A-P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25">
      <c r="A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" t="str">
        <f>SUBSTITUTE(SUBSTITUTE(tabSource[[#This Row],[ID]],"&lt;",""),"&gt;","")</f>
        <v>20746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25">
      <c r="A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" t="str">
        <f>SUBSTITUTE(SUBSTITUTE(tabSource[[#This Row],[ID]],"&lt;",""),"&gt;","")</f>
        <v>20749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25">
      <c r="A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" t="str">
        <f>SUBSTITUTE(SUBSTITUTE(tabSource[[#This Row],[ID]],"&lt;",""),"&gt;","")</f>
        <v>20751-3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x14ac:dyDescent="0.25">
      <c r="A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" t="str">
        <f>SUBSTITUTE(SUBSTITUTE(tabSource[[#This Row],[ID]],"&lt;",""),"&gt;","")</f>
        <v>20751-HF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25">
      <c r="A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" t="str">
        <f>SUBSTITUTE(SUBSTITUTE(tabSource[[#This Row],[ID]],"&lt;",""),"&gt;","")</f>
        <v>20751-P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x14ac:dyDescent="0.25">
      <c r="A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" t="str">
        <f>SUBSTITUTE(SUBSTITUTE(tabSource[[#This Row],[ID]],"&lt;",""),"&gt;","")</f>
        <v>20751-V4A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x14ac:dyDescent="0.25">
      <c r="A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" t="str">
        <f>SUBSTITUTE(SUBSTITUTE(tabSource[[#This Row],[ID]],"&lt;",""),"&gt;","")</f>
        <v>20751-V4A-P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x14ac:dyDescent="0.25">
      <c r="A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" t="str">
        <f>SUBSTITUTE(SUBSTITUTE(tabSource[[#This Row],[ID]],"&lt;",""),"&gt;","")</f>
        <v>20756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25">
      <c r="A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" t="str">
        <f>SUBSTITUTE(SUBSTITUTE(tabSource[[#This Row],[ID]],"&lt;",""),"&gt;","")</f>
        <v>20758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25">
      <c r="A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" t="str">
        <f>SUBSTITUTE(SUBSTITUTE(tabSource[[#This Row],[ID]],"&lt;",""),"&gt;","")</f>
        <v>20758-HF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x14ac:dyDescent="0.25">
      <c r="A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" t="str">
        <f>SUBSTITUTE(SUBSTITUTE(tabSource[[#This Row],[ID]],"&lt;",""),"&gt;","")</f>
        <v>20758-V4A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x14ac:dyDescent="0.25">
      <c r="A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" t="str">
        <f>SUBSTITUTE(SUBSTITUTE(tabSource[[#This Row],[ID]],"&lt;",""),"&gt;","")</f>
        <v>20758-V4A-P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25">
      <c r="A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" t="str">
        <f>SUBSTITUTE(SUBSTITUTE(tabSource[[#This Row],[ID]],"&lt;",""),"&gt;","")</f>
        <v>20761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x14ac:dyDescent="0.25">
      <c r="A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" t="str">
        <f>SUBSTITUTE(SUBSTITUTE(tabSource[[#This Row],[ID]],"&lt;",""),"&gt;","")</f>
        <v>20771-HF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x14ac:dyDescent="0.25">
      <c r="A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" t="str">
        <f>SUBSTITUTE(SUBSTITUTE(tabSource[[#This Row],[ID]],"&lt;",""),"&gt;","")</f>
        <v>20771-V4A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25">
      <c r="A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" t="str">
        <f>SUBSTITUTE(SUBSTITUTE(tabSource[[#This Row],[ID]],"&lt;",""),"&gt;","")</f>
        <v>20771-V4A-P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25">
      <c r="A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" t="str">
        <f>SUBSTITUTE(SUBSTITUTE(tabSource[[#This Row],[ID]],"&lt;",""),"&gt;","")</f>
        <v>20776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25">
      <c r="A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" t="str">
        <f>SUBSTITUTE(SUBSTITUTE(tabSource[[#This Row],[ID]],"&lt;",""),"&gt;","")</f>
        <v>20779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25">
      <c r="A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" t="str">
        <f>SUBSTITUTE(SUBSTITUTE(tabSource[[#This Row],[ID]],"&lt;",""),"&gt;","")</f>
        <v>207800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25">
      <c r="A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" t="str">
        <f>SUBSTITUTE(SUBSTITUTE(tabSource[[#This Row],[ID]],"&lt;",""),"&gt;","")</f>
        <v>207800-V4A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25">
      <c r="A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" t="str">
        <f>SUBSTITUTE(SUBSTITUTE(tabSource[[#This Row],[ID]],"&lt;",""),"&gt;","")</f>
        <v>207800-V4A-P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25">
      <c r="A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" t="str">
        <f>SUBSTITUTE(SUBSTITUTE(tabSource[[#This Row],[ID]],"&lt;",""),"&gt;","")</f>
        <v>20781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25">
      <c r="A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" t="str">
        <f>SUBSTITUTE(SUBSTITUTE(tabSource[[#This Row],[ID]],"&lt;",""),"&gt;","")</f>
        <v>207842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25">
      <c r="A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" t="str">
        <f>SUBSTITUTE(SUBSTITUTE(tabSource[[#This Row],[ID]],"&lt;",""),"&gt;","")</f>
        <v>207842-V4A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25">
      <c r="A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" t="str">
        <f>SUBSTITUTE(SUBSTITUTE(tabSource[[#This Row],[ID]],"&lt;",""),"&gt;","")</f>
        <v>207842-V4A-P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25">
      <c r="A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" t="str">
        <f>SUBSTITUTE(SUBSTITUTE(tabSource[[#This Row],[ID]],"&lt;",""),"&gt;","")</f>
        <v>207848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25">
      <c r="A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" t="str">
        <f>SUBSTITUTE(SUBSTITUTE(tabSource[[#This Row],[ID]],"&lt;",""),"&gt;","")</f>
        <v>207848-V4A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25">
      <c r="A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" t="str">
        <f>SUBSTITUTE(SUBSTITUTE(tabSource[[#This Row],[ID]],"&lt;",""),"&gt;","")</f>
        <v>207848-V4A-P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25">
      <c r="A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" t="str">
        <f>SUBSTITUTE(SUBSTITUTE(tabSource[[#This Row],[ID]],"&lt;",""),"&gt;","")</f>
        <v>60202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25">
      <c r="A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" t="str">
        <f>SUBSTITUTE(SUBSTITUTE(tabSource[[#This Row],[ID]],"&lt;",""),"&gt;","")</f>
        <v>60203N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25">
      <c r="A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" t="str">
        <f>SUBSTITUTE(SUBSTITUTE(tabSource[[#This Row],[ID]],"&lt;",""),"&gt;","")</f>
        <v>60203N-V4A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25">
      <c r="A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" t="str">
        <f>SUBSTITUTE(SUBSTITUTE(tabSource[[#This Row],[ID]],"&lt;",""),"&gt;","")</f>
        <v>60203N-V4A-P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25">
      <c r="A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" t="str">
        <f>SUBSTITUTE(SUBSTITUTE(tabSource[[#This Row],[ID]],"&lt;",""),"&gt;","")</f>
        <v>60206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25">
      <c r="A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" t="str">
        <f>SUBSTITUTE(SUBSTITUTE(tabSource[[#This Row],[ID]],"&lt;",""),"&gt;","")</f>
        <v>60206-V4A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25">
      <c r="A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" t="str">
        <f>SUBSTITUTE(SUBSTITUTE(tabSource[[#This Row],[ID]],"&lt;",""),"&gt;","")</f>
        <v>60206-V4A-P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25">
      <c r="A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" t="str">
        <f>SUBSTITUTE(SUBSTITUTE(tabSource[[#This Row],[ID]],"&lt;",""),"&gt;","")</f>
        <v>60207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25">
      <c r="A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" t="str">
        <f>SUBSTITUTE(SUBSTITUTE(tabSource[[#This Row],[ID]],"&lt;",""),"&gt;","")</f>
        <v>60207-V4A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25">
      <c r="A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" t="str">
        <f>SUBSTITUTE(SUBSTITUTE(tabSource[[#This Row],[ID]],"&lt;",""),"&gt;","")</f>
        <v>60207-V4A-P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25">
      <c r="A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" t="str">
        <f>SUBSTITUTE(SUBSTITUTE(tabSource[[#This Row],[ID]],"&lt;",""),"&gt;","")</f>
        <v>60208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25">
      <c r="A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" t="str">
        <f>SUBSTITUTE(SUBSTITUTE(tabSource[[#This Row],[ID]],"&lt;",""),"&gt;","")</f>
        <v>60208-V4A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25">
      <c r="A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" t="str">
        <f>SUBSTITUTE(SUBSTITUTE(tabSource[[#This Row],[ID]],"&lt;",""),"&gt;","")</f>
        <v>60208-V4A-P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25">
      <c r="A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" t="str">
        <f>SUBSTITUTE(SUBSTITUTE(tabSource[[#This Row],[ID]],"&lt;",""),"&gt;","")</f>
        <v>60209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25">
      <c r="A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" t="str">
        <f>SUBSTITUTE(SUBSTITUTE(tabSource[[#This Row],[ID]],"&lt;",""),"&gt;","")</f>
        <v>61002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25">
      <c r="A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" t="str">
        <f>SUBSTITUTE(SUBSTITUTE(tabSource[[#This Row],[ID]],"&lt;",""),"&gt;","")</f>
        <v>61002-V4A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25">
      <c r="A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" t="str">
        <f>SUBSTITUTE(SUBSTITUTE(tabSource[[#This Row],[ID]],"&lt;",""),"&gt;","")</f>
        <v>61002-V4A-P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25">
      <c r="A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" t="str">
        <f>SUBSTITUTE(SUBSTITUTE(tabSource[[#This Row],[ID]],"&lt;",""),"&gt;","")</f>
        <v>61006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25">
      <c r="A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" t="str">
        <f>SUBSTITUTE(SUBSTITUTE(tabSource[[#This Row],[ID]],"&lt;",""),"&gt;","")</f>
        <v>61006-V4A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25">
      <c r="A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" t="str">
        <f>SUBSTITUTE(SUBSTITUTE(tabSource[[#This Row],[ID]],"&lt;",""),"&gt;","")</f>
        <v>61006-V4A-P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25">
      <c r="A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" t="str">
        <f>SUBSTITUTE(SUBSTITUTE(tabSource[[#This Row],[ID]],"&lt;",""),"&gt;","")</f>
        <v>61008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25">
      <c r="A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" t="str">
        <f>SUBSTITUTE(SUBSTITUTE(tabSource[[#This Row],[ID]],"&lt;",""),"&gt;","")</f>
        <v>61008-V4A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25">
      <c r="A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" t="str">
        <f>SUBSTITUTE(SUBSTITUTE(tabSource[[#This Row],[ID]],"&lt;",""),"&gt;","")</f>
        <v>61008-V4A-P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25">
      <c r="A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" t="str">
        <f>SUBSTITUTE(SUBSTITUTE(tabSource[[#This Row],[ID]],"&lt;",""),"&gt;","")</f>
        <v>61012</v>
      </c>
      <c r="D84"/>
      <c r="E84"/>
      <c r="F84"/>
      <c r="G84"/>
      <c r="I84"/>
      <c r="J84"/>
      <c r="K84"/>
      <c r="L84"/>
      <c r="M84"/>
      <c r="P84"/>
      <c r="Q84"/>
      <c r="R84"/>
      <c r="S84"/>
      <c r="T84"/>
    </row>
    <row r="85" spans="1:20" x14ac:dyDescent="0.25">
      <c r="A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" t="str">
        <f>SUBSTITUTE(SUBSTITUTE(tabSource[[#This Row],[ID]],"&lt;",""),"&gt;","")</f>
        <v>61016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25">
      <c r="A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" t="str">
        <f>SUBSTITUTE(SUBSTITUTE(tabSource[[#This Row],[ID]],"&lt;",""),"&gt;","")</f>
        <v>61018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25">
      <c r="A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" t="str">
        <f>SUBSTITUTE(SUBSTITUTE(tabSource[[#This Row],[ID]],"&lt;",""),"&gt;","")</f>
        <v>61022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25">
      <c r="A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" t="str">
        <f>SUBSTITUTE(SUBSTITUTE(tabSource[[#This Row],[ID]],"&lt;",""),"&gt;","")</f>
        <v>61024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25">
      <c r="A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" t="str">
        <f>SUBSTITUTE(SUBSTITUTE(tabSource[[#This Row],[ID]],"&lt;",""),"&gt;","")</f>
        <v>61027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25">
      <c r="A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" t="str">
        <f>SUBSTITUTE(SUBSTITUTE(tabSource[[#This Row],[ID]],"&lt;",""),"&gt;","")</f>
        <v>61028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25">
      <c r="A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" t="str">
        <f>SUBSTITUTE(SUBSTITUTE(tabSource[[#This Row],[ID]],"&lt;",""),"&gt;","")</f>
        <v>61030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25">
      <c r="A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" t="str">
        <f>SUBSTITUTE(SUBSTITUTE(tabSource[[#This Row],[ID]],"&lt;",""),"&gt;","")</f>
        <v>61031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25">
      <c r="A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" t="str">
        <f>SUBSTITUTE(SUBSTITUTE(tabSource[[#This Row],[ID]],"&lt;",""),"&gt;","")</f>
        <v>61031-V4A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25">
      <c r="A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" t="str">
        <f>SUBSTITUTE(SUBSTITUTE(tabSource[[#This Row],[ID]],"&lt;",""),"&gt;","")</f>
        <v>61031-V4A-P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25">
      <c r="A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" t="str">
        <f>SUBSTITUTE(SUBSTITUTE(tabSource[[#This Row],[ID]],"&lt;",""),"&gt;","")</f>
        <v>61032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25">
      <c r="A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" t="str">
        <f>SUBSTITUTE(SUBSTITUTE(tabSource[[#This Row],[ID]],"&lt;",""),"&gt;","")</f>
        <v>61034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25">
      <c r="A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" t="str">
        <f>SUBSTITUTE(SUBSTITUTE(tabSource[[#This Row],[ID]],"&lt;",""),"&gt;","")</f>
        <v>61034-V4A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25">
      <c r="A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" t="str">
        <f>SUBSTITUTE(SUBSTITUTE(tabSource[[#This Row],[ID]],"&lt;",""),"&gt;","")</f>
        <v>61034-V4A-P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25">
      <c r="A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" t="str">
        <f>SUBSTITUTE(SUBSTITUTE(tabSource[[#This Row],[ID]],"&lt;",""),"&gt;","")</f>
        <v>61035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25">
      <c r="A1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" t="str">
        <f>SUBSTITUTE(SUBSTITUTE(tabSource[[#This Row],[ID]],"&lt;",""),"&gt;","")</f>
        <v>61035-V4A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x14ac:dyDescent="0.25">
      <c r="A1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" t="str">
        <f>SUBSTITUTE(SUBSTITUTE(tabSource[[#This Row],[ID]],"&lt;",""),"&gt;","")</f>
        <v>61035-V4A-P</v>
      </c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x14ac:dyDescent="0.25">
      <c r="A1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" t="str">
        <f>SUBSTITUTE(SUBSTITUTE(tabSource[[#This Row],[ID]],"&lt;",""),"&gt;","")</f>
        <v>61036</v>
      </c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x14ac:dyDescent="0.25">
      <c r="A1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" t="str">
        <f>SUBSTITUTE(SUBSTITUTE(tabSource[[#This Row],[ID]],"&lt;",""),"&gt;","")</f>
        <v>61037</v>
      </c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x14ac:dyDescent="0.25">
      <c r="A1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" t="str">
        <f>SUBSTITUTE(SUBSTITUTE(tabSource[[#This Row],[ID]],"&lt;",""),"&gt;","")</f>
        <v>61038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x14ac:dyDescent="0.25">
      <c r="A1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" t="str">
        <f>SUBSTITUTE(SUBSTITUTE(tabSource[[#This Row],[ID]],"&lt;",""),"&gt;","")</f>
        <v>61052</v>
      </c>
      <c r="D105"/>
      <c r="E105"/>
      <c r="F105"/>
      <c r="G105"/>
      <c r="I105"/>
      <c r="J105"/>
      <c r="K105"/>
      <c r="L105"/>
      <c r="M105"/>
      <c r="P105"/>
      <c r="Q105"/>
      <c r="R105"/>
      <c r="S105"/>
      <c r="T105"/>
    </row>
    <row r="106" spans="1:20" x14ac:dyDescent="0.25">
      <c r="A1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" t="str">
        <f>SUBSTITUTE(SUBSTITUTE(tabSource[[#This Row],[ID]],"&lt;",""),"&gt;","")</f>
        <v>61054</v>
      </c>
      <c r="D106"/>
      <c r="E106"/>
      <c r="F106"/>
      <c r="G106"/>
      <c r="I106"/>
      <c r="J106"/>
      <c r="K106"/>
      <c r="L106"/>
      <c r="M106"/>
      <c r="P106"/>
      <c r="Q106"/>
      <c r="R106"/>
      <c r="S106"/>
      <c r="T106"/>
    </row>
    <row r="107" spans="1:20" x14ac:dyDescent="0.25">
      <c r="A1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" t="str">
        <f>SUBSTITUTE(SUBSTITUTE(tabSource[[#This Row],[ID]],"&lt;",""),"&gt;","")</f>
        <v>61061</v>
      </c>
      <c r="D107"/>
      <c r="E107"/>
      <c r="F107"/>
      <c r="G107"/>
      <c r="I107"/>
      <c r="J107"/>
      <c r="K107"/>
      <c r="L107"/>
      <c r="M107"/>
      <c r="P107"/>
      <c r="Q107"/>
      <c r="R107"/>
      <c r="S107"/>
      <c r="T107"/>
    </row>
    <row r="108" spans="1:20" x14ac:dyDescent="0.25">
      <c r="A1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" t="str">
        <f>SUBSTITUTE(SUBSTITUTE(tabSource[[#This Row],[ID]],"&lt;",""),"&gt;","")</f>
        <v>61062</v>
      </c>
      <c r="D108"/>
      <c r="E108"/>
      <c r="F108"/>
      <c r="G108"/>
      <c r="I108"/>
      <c r="J108"/>
      <c r="K108"/>
      <c r="L108"/>
      <c r="M108"/>
      <c r="P108"/>
      <c r="Q108"/>
      <c r="R108"/>
      <c r="S108"/>
      <c r="T108"/>
    </row>
    <row r="109" spans="1:20" x14ac:dyDescent="0.25">
      <c r="A1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" t="str">
        <f>SUBSTITUTE(SUBSTITUTE(tabSource[[#This Row],[ID]],"&lt;",""),"&gt;","")</f>
        <v>61065</v>
      </c>
      <c r="D109"/>
      <c r="E109"/>
      <c r="F109"/>
      <c r="G109"/>
      <c r="I109"/>
      <c r="J109"/>
      <c r="K109"/>
      <c r="L109"/>
      <c r="M109"/>
      <c r="P109"/>
      <c r="Q109"/>
      <c r="R109"/>
      <c r="S109"/>
      <c r="T109"/>
    </row>
    <row r="110" spans="1:20" x14ac:dyDescent="0.25">
      <c r="A1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" t="str">
        <f>SUBSTITUTE(SUBSTITUTE(tabSource[[#This Row],[ID]],"&lt;",""),"&gt;","")</f>
        <v>61066</v>
      </c>
      <c r="D110"/>
      <c r="E110"/>
      <c r="F110"/>
      <c r="G110"/>
      <c r="I110"/>
      <c r="J110"/>
      <c r="K110"/>
      <c r="L110"/>
      <c r="M110"/>
      <c r="P110"/>
      <c r="Q110"/>
      <c r="R110"/>
      <c r="S110"/>
      <c r="T110"/>
    </row>
    <row r="111" spans="1:20" x14ac:dyDescent="0.25">
      <c r="A1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" t="str">
        <f>SUBSTITUTE(SUBSTITUTE(tabSource[[#This Row],[ID]],"&lt;",""),"&gt;","")</f>
        <v>61067</v>
      </c>
      <c r="D111"/>
      <c r="E111"/>
      <c r="F111"/>
      <c r="G111"/>
      <c r="I111"/>
      <c r="J111"/>
      <c r="K111"/>
      <c r="L111"/>
      <c r="M111"/>
      <c r="P111"/>
      <c r="Q111"/>
      <c r="R111"/>
      <c r="S111"/>
      <c r="T111"/>
    </row>
    <row r="112" spans="1:20" x14ac:dyDescent="0.25">
      <c r="A1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" t="str">
        <f>SUBSTITUTE(SUBSTITUTE(tabSource[[#This Row],[ID]],"&lt;",""),"&gt;","")</f>
        <v>61068</v>
      </c>
      <c r="D112"/>
      <c r="E112"/>
      <c r="F112"/>
      <c r="G112"/>
      <c r="I112"/>
      <c r="J112"/>
      <c r="K112"/>
      <c r="L112"/>
      <c r="M112"/>
      <c r="P112"/>
      <c r="Q112"/>
      <c r="R112"/>
      <c r="S112"/>
      <c r="T112"/>
    </row>
    <row r="113" spans="1:20" x14ac:dyDescent="0.25">
      <c r="A1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" t="str">
        <f>SUBSTITUTE(SUBSTITUTE(tabSource[[#This Row],[ID]],"&lt;",""),"&gt;","")</f>
        <v>61071</v>
      </c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x14ac:dyDescent="0.25">
      <c r="A1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" t="str">
        <f>SUBSTITUTE(SUBSTITUTE(tabSource[[#This Row],[ID]],"&lt;",""),"&gt;","")</f>
        <v>61072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x14ac:dyDescent="0.25">
      <c r="A1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" t="str">
        <f>SUBSTITUTE(SUBSTITUTE(tabSource[[#This Row],[ID]],"&lt;",""),"&gt;","")</f>
        <v>61075</v>
      </c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x14ac:dyDescent="0.25">
      <c r="A1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" t="str">
        <f>SUBSTITUTE(SUBSTITUTE(tabSource[[#This Row],[ID]],"&lt;",""),"&gt;","")</f>
        <v>61076</v>
      </c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x14ac:dyDescent="0.25">
      <c r="A1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" t="str">
        <f>SUBSTITUTE(SUBSTITUTE(tabSource[[#This Row],[ID]],"&lt;",""),"&gt;","")</f>
        <v>61077</v>
      </c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x14ac:dyDescent="0.25">
      <c r="A1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" t="str">
        <f>SUBSTITUTE(SUBSTITUTE(tabSource[[#This Row],[ID]],"&lt;",""),"&gt;","")</f>
        <v>61078</v>
      </c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x14ac:dyDescent="0.25">
      <c r="A1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" t="str">
        <f>SUBSTITUTE(SUBSTITUTE(tabSource[[#This Row],[ID]],"&lt;",""),"&gt;","")</f>
        <v>61080</v>
      </c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x14ac:dyDescent="0.25">
      <c r="A1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" t="str">
        <f>SUBSTITUTE(SUBSTITUTE(tabSource[[#This Row],[ID]],"&lt;",""),"&gt;","")</f>
        <v>61081</v>
      </c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x14ac:dyDescent="0.25">
      <c r="A1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" t="str">
        <f>SUBSTITUTE(SUBSTITUTE(tabSource[[#This Row],[ID]],"&lt;",""),"&gt;","")</f>
        <v>61081-V4A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x14ac:dyDescent="0.25">
      <c r="A1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" t="str">
        <f>SUBSTITUTE(SUBSTITUTE(tabSource[[#This Row],[ID]],"&lt;",""),"&gt;","")</f>
        <v>61081-V4A-P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x14ac:dyDescent="0.25">
      <c r="A1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" t="str">
        <f>SUBSTITUTE(SUBSTITUTE(tabSource[[#This Row],[ID]],"&lt;",""),"&gt;","")</f>
        <v>61082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x14ac:dyDescent="0.25">
      <c r="A1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" t="str">
        <f>SUBSTITUTE(SUBSTITUTE(tabSource[[#This Row],[ID]],"&lt;",""),"&gt;","")</f>
        <v>61083</v>
      </c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x14ac:dyDescent="0.25">
      <c r="A1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" t="str">
        <f>SUBSTITUTE(SUBSTITUTE(tabSource[[#This Row],[ID]],"&lt;",""),"&gt;","")</f>
        <v>61083-V4A</v>
      </c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x14ac:dyDescent="0.25">
      <c r="A1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" t="str">
        <f>SUBSTITUTE(SUBSTITUTE(tabSource[[#This Row],[ID]],"&lt;",""),"&gt;","")</f>
        <v>61084</v>
      </c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x14ac:dyDescent="0.25">
      <c r="A1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" t="str">
        <f>SUBSTITUTE(SUBSTITUTE(tabSource[[#This Row],[ID]],"&lt;",""),"&gt;","")</f>
        <v>61084-V4A</v>
      </c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x14ac:dyDescent="0.25">
      <c r="A1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" t="str">
        <f>SUBSTITUTE(SUBSTITUTE(tabSource[[#This Row],[ID]],"&lt;",""),"&gt;","")</f>
        <v>61085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x14ac:dyDescent="0.25">
      <c r="A1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" t="str">
        <f>SUBSTITUTE(SUBSTITUTE(tabSource[[#This Row],[ID]],"&lt;",""),"&gt;","")</f>
        <v>61085-3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x14ac:dyDescent="0.25">
      <c r="A1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" t="str">
        <f>SUBSTITUTE(SUBSTITUTE(tabSource[[#This Row],[ID]],"&lt;",""),"&gt;","")</f>
        <v>61085-V4A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x14ac:dyDescent="0.25">
      <c r="A1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" t="str">
        <f>SUBSTITUTE(SUBSTITUTE(tabSource[[#This Row],[ID]],"&lt;",""),"&gt;","")</f>
        <v>61085-V4A-P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x14ac:dyDescent="0.25">
      <c r="A1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" t="str">
        <f>SUBSTITUTE(SUBSTITUTE(tabSource[[#This Row],[ID]],"&lt;",""),"&gt;","")</f>
        <v>61086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x14ac:dyDescent="0.25">
      <c r="A1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" t="str">
        <f>SUBSTITUTE(SUBSTITUTE(tabSource[[#This Row],[ID]],"&lt;",""),"&gt;","")</f>
        <v>61087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x14ac:dyDescent="0.25">
      <c r="A1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" t="str">
        <f>SUBSTITUTE(SUBSTITUTE(tabSource[[#This Row],[ID]],"&lt;",""),"&gt;","")</f>
        <v>61087-V4A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x14ac:dyDescent="0.25">
      <c r="A1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" t="str">
        <f>SUBSTITUTE(SUBSTITUTE(tabSource[[#This Row],[ID]],"&lt;",""),"&gt;","")</f>
        <v>61087-V4A-P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x14ac:dyDescent="0.25">
      <c r="A1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" t="str">
        <f>SUBSTITUTE(SUBSTITUTE(tabSource[[#This Row],[ID]],"&lt;",""),"&gt;","")</f>
        <v>61088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x14ac:dyDescent="0.25">
      <c r="A1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" t="str">
        <f>SUBSTITUTE(SUBSTITUTE(tabSource[[#This Row],[ID]],"&lt;",""),"&gt;","")</f>
        <v>61090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x14ac:dyDescent="0.25">
      <c r="A1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" t="str">
        <f>SUBSTITUTE(SUBSTITUTE(tabSource[[#This Row],[ID]],"&lt;",""),"&gt;","")</f>
        <v>61090-V4A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x14ac:dyDescent="0.25">
      <c r="A1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" t="str">
        <f>SUBSTITUTE(SUBSTITUTE(tabSource[[#This Row],[ID]],"&lt;",""),"&gt;","")</f>
        <v>61090-V4A-P</v>
      </c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x14ac:dyDescent="0.25">
      <c r="A1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" t="str">
        <f>SUBSTITUTE(SUBSTITUTE(tabSource[[#This Row],[ID]],"&lt;",""),"&gt;","")</f>
        <v>61091</v>
      </c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x14ac:dyDescent="0.25">
      <c r="A1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" t="str">
        <f>SUBSTITUTE(SUBSTITUTE(tabSource[[#This Row],[ID]],"&lt;",""),"&gt;","")</f>
        <v>61091-V4A</v>
      </c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x14ac:dyDescent="0.25">
      <c r="A1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" t="str">
        <f>SUBSTITUTE(SUBSTITUTE(tabSource[[#This Row],[ID]],"&lt;",""),"&gt;","")</f>
        <v>61091-V4A-P</v>
      </c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x14ac:dyDescent="0.25">
      <c r="A1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" t="str">
        <f>SUBSTITUTE(SUBSTITUTE(tabSource[[#This Row],[ID]],"&lt;",""),"&gt;","")</f>
        <v>61092</v>
      </c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x14ac:dyDescent="0.25">
      <c r="A1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" t="str">
        <f>SUBSTITUTE(SUBSTITUTE(tabSource[[#This Row],[ID]],"&lt;",""),"&gt;","")</f>
        <v>61095</v>
      </c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x14ac:dyDescent="0.25">
      <c r="A1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" t="str">
        <f>SUBSTITUTE(SUBSTITUTE(tabSource[[#This Row],[ID]],"&lt;",""),"&gt;","")</f>
        <v>61095-V4A</v>
      </c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x14ac:dyDescent="0.25">
      <c r="A1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" t="str">
        <f>SUBSTITUTE(SUBSTITUTE(tabSource[[#This Row],[ID]],"&lt;",""),"&gt;","")</f>
        <v>61095-V4A-P</v>
      </c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x14ac:dyDescent="0.25">
      <c r="A1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" t="str">
        <f>SUBSTITUTE(SUBSTITUTE(tabSource[[#This Row],[ID]],"&lt;",""),"&gt;","")</f>
        <v>61096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x14ac:dyDescent="0.25">
      <c r="A1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" t="str">
        <f>SUBSTITUTE(SUBSTITUTE(tabSource[[#This Row],[ID]],"&lt;",""),"&gt;","")</f>
        <v>61097</v>
      </c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x14ac:dyDescent="0.25">
      <c r="A1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" t="str">
        <f>SUBSTITUTE(SUBSTITUTE(tabSource[[#This Row],[ID]],"&lt;",""),"&gt;","")</f>
        <v>61097-V4A</v>
      </c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x14ac:dyDescent="0.25">
      <c r="A1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" t="str">
        <f>SUBSTITUTE(SUBSTITUTE(tabSource[[#This Row],[ID]],"&lt;",""),"&gt;","")</f>
        <v>61097-V4A-P</v>
      </c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x14ac:dyDescent="0.25">
      <c r="A1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" t="str">
        <f>SUBSTITUTE(SUBSTITUTE(tabSource[[#This Row],[ID]],"&lt;",""),"&gt;","")</f>
        <v>61098</v>
      </c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x14ac:dyDescent="0.25">
      <c r="A1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" t="str">
        <f>SUBSTITUTE(SUBSTITUTE(tabSource[[#This Row],[ID]],"&lt;",""),"&gt;","")</f>
        <v>61102</v>
      </c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x14ac:dyDescent="0.25">
      <c r="A1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" t="str">
        <f>SUBSTITUTE(SUBSTITUTE(tabSource[[#This Row],[ID]],"&lt;",""),"&gt;","")</f>
        <v>61102-V4A</v>
      </c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x14ac:dyDescent="0.25">
      <c r="A1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" t="str">
        <f>SUBSTITUTE(SUBSTITUTE(tabSource[[#This Row],[ID]],"&lt;",""),"&gt;","")</f>
        <v>61102-V4A-P</v>
      </c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x14ac:dyDescent="0.25">
      <c r="A1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" t="str">
        <f>SUBSTITUTE(SUBSTITUTE(tabSource[[#This Row],[ID]],"&lt;",""),"&gt;","")</f>
        <v>61106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x14ac:dyDescent="0.25">
      <c r="A1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" t="str">
        <f>SUBSTITUTE(SUBSTITUTE(tabSource[[#This Row],[ID]],"&lt;",""),"&gt;","")</f>
        <v>61106-V4A</v>
      </c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x14ac:dyDescent="0.25">
      <c r="A1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" t="str">
        <f>SUBSTITUTE(SUBSTITUTE(tabSource[[#This Row],[ID]],"&lt;",""),"&gt;","")</f>
        <v>61106-V4A-P</v>
      </c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x14ac:dyDescent="0.25">
      <c r="A1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" t="str">
        <f>SUBSTITUTE(SUBSTITUTE(tabSource[[#This Row],[ID]],"&lt;",""),"&gt;","")</f>
        <v>61108</v>
      </c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x14ac:dyDescent="0.25">
      <c r="A1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" t="str">
        <f>SUBSTITUTE(SUBSTITUTE(tabSource[[#This Row],[ID]],"&lt;",""),"&gt;","")</f>
        <v>61108-V4A</v>
      </c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x14ac:dyDescent="0.25">
      <c r="A1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" t="str">
        <f>SUBSTITUTE(SUBSTITUTE(tabSource[[#This Row],[ID]],"&lt;",""),"&gt;","")</f>
        <v>61108-V4A-P</v>
      </c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x14ac:dyDescent="0.25">
      <c r="A1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" t="str">
        <f>SUBSTITUTE(SUBSTITUTE(tabSource[[#This Row],[ID]],"&lt;",""),"&gt;","")</f>
        <v>61202</v>
      </c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x14ac:dyDescent="0.25">
      <c r="A1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" t="str">
        <f>SUBSTITUTE(SUBSTITUTE(tabSource[[#This Row],[ID]],"&lt;",""),"&gt;","")</f>
        <v>61203</v>
      </c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x14ac:dyDescent="0.25">
      <c r="A1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" t="str">
        <f>SUBSTITUTE(SUBSTITUTE(tabSource[[#This Row],[ID]],"&lt;",""),"&gt;","")</f>
        <v>61208</v>
      </c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x14ac:dyDescent="0.25">
      <c r="A1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" t="str">
        <f>SUBSTITUTE(SUBSTITUTE(tabSource[[#This Row],[ID]],"&lt;",""),"&gt;","")</f>
        <v>61210</v>
      </c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x14ac:dyDescent="0.25">
      <c r="A1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" t="str">
        <f>SUBSTITUTE(SUBSTITUTE(tabSource[[#This Row],[ID]],"&lt;",""),"&gt;","")</f>
        <v>61211</v>
      </c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x14ac:dyDescent="0.25">
      <c r="A1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" t="str">
        <f>SUBSTITUTE(SUBSTITUTE(tabSource[[#This Row],[ID]],"&lt;",""),"&gt;","")</f>
        <v>61215</v>
      </c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x14ac:dyDescent="0.25">
      <c r="A1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" t="str">
        <f>SUBSTITUTE(SUBSTITUTE(tabSource[[#This Row],[ID]],"&lt;",""),"&gt;","")</f>
        <v>61217</v>
      </c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x14ac:dyDescent="0.25">
      <c r="A1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" t="str">
        <f>SUBSTITUTE(SUBSTITUTE(tabSource[[#This Row],[ID]],"&lt;",""),"&gt;","")</f>
        <v>61218</v>
      </c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x14ac:dyDescent="0.25">
      <c r="A1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" t="str">
        <f>SUBSTITUTE(SUBSTITUTE(tabSource[[#This Row],[ID]],"&lt;",""),"&gt;","")</f>
        <v>61219</v>
      </c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x14ac:dyDescent="0.25">
      <c r="A1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" t="str">
        <f>SUBSTITUTE(SUBSTITUTE(tabSource[[#This Row],[ID]],"&lt;",""),"&gt;","")</f>
        <v>61220</v>
      </c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x14ac:dyDescent="0.25">
      <c r="A1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" t="str">
        <f>SUBSTITUTE(SUBSTITUTE(tabSource[[#This Row],[ID]],"&lt;",""),"&gt;","")</f>
        <v>61221</v>
      </c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x14ac:dyDescent="0.25">
      <c r="A1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" t="str">
        <f>SUBSTITUTE(SUBSTITUTE(tabSource[[#This Row],[ID]],"&lt;",""),"&gt;","")</f>
        <v>61223</v>
      </c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x14ac:dyDescent="0.25">
      <c r="A1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" t="str">
        <f>SUBSTITUTE(SUBSTITUTE(tabSource[[#This Row],[ID]],"&lt;",""),"&gt;","")</f>
        <v>61223-V4A</v>
      </c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x14ac:dyDescent="0.25">
      <c r="A1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" t="str">
        <f>SUBSTITUTE(SUBSTITUTE(tabSource[[#This Row],[ID]],"&lt;",""),"&gt;","")</f>
        <v>61224</v>
      </c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x14ac:dyDescent="0.25">
      <c r="A1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" t="str">
        <f>SUBSTITUTE(SUBSTITUTE(tabSource[[#This Row],[ID]],"&lt;",""),"&gt;","")</f>
        <v>61224-V4A</v>
      </c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x14ac:dyDescent="0.25">
      <c r="A1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" t="str">
        <f>SUBSTITUTE(SUBSTITUTE(tabSource[[#This Row],[ID]],"&lt;",""),"&gt;","")</f>
        <v>61225</v>
      </c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x14ac:dyDescent="0.25">
      <c r="A1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" t="str">
        <f>SUBSTITUTE(SUBSTITUTE(tabSource[[#This Row],[ID]],"&lt;",""),"&gt;","")</f>
        <v>61227</v>
      </c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x14ac:dyDescent="0.25">
      <c r="A1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" t="str">
        <f>SUBSTITUTE(SUBSTITUTE(tabSource[[#This Row],[ID]],"&lt;",""),"&gt;","")</f>
        <v>61229</v>
      </c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x14ac:dyDescent="0.25">
      <c r="A1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" t="str">
        <f>SUBSTITUTE(SUBSTITUTE(tabSource[[#This Row],[ID]],"&lt;",""),"&gt;","")</f>
        <v>61231</v>
      </c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x14ac:dyDescent="0.25">
      <c r="A1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" t="str">
        <f>SUBSTITUTE(SUBSTITUTE(tabSource[[#This Row],[ID]],"&lt;",""),"&gt;","")</f>
        <v>61232</v>
      </c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x14ac:dyDescent="0.25">
      <c r="A1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" t="str">
        <f>SUBSTITUTE(SUBSTITUTE(tabSource[[#This Row],[ID]],"&lt;",""),"&gt;","")</f>
        <v>61235</v>
      </c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x14ac:dyDescent="0.25">
      <c r="A1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" t="str">
        <f>SUBSTITUTE(SUBSTITUTE(tabSource[[#This Row],[ID]],"&lt;",""),"&gt;","")</f>
        <v>61236</v>
      </c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x14ac:dyDescent="0.25">
      <c r="A1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" t="str">
        <f>SUBSTITUTE(SUBSTITUTE(tabSource[[#This Row],[ID]],"&lt;",""),"&gt;","")</f>
        <v>61237</v>
      </c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x14ac:dyDescent="0.25">
      <c r="A1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" t="str">
        <f>SUBSTITUTE(SUBSTITUTE(tabSource[[#This Row],[ID]],"&lt;",""),"&gt;","")</f>
        <v>61238</v>
      </c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x14ac:dyDescent="0.25">
      <c r="A1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" t="str">
        <f>SUBSTITUTE(SUBSTITUTE(tabSource[[#This Row],[ID]],"&lt;",""),"&gt;","")</f>
        <v>61242</v>
      </c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x14ac:dyDescent="0.25">
      <c r="A1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" t="str">
        <f>SUBSTITUTE(SUBSTITUTE(tabSource[[#This Row],[ID]],"&lt;",""),"&gt;","")</f>
        <v>61243</v>
      </c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x14ac:dyDescent="0.25">
      <c r="A1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" t="str">
        <f>SUBSTITUTE(SUBSTITUTE(tabSource[[#This Row],[ID]],"&lt;",""),"&gt;","")</f>
        <v>61250</v>
      </c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x14ac:dyDescent="0.25">
      <c r="A1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" t="str">
        <f>SUBSTITUTE(SUBSTITUTE(tabSource[[#This Row],[ID]],"&lt;",""),"&gt;","")</f>
        <v>61251</v>
      </c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x14ac:dyDescent="0.25">
      <c r="A1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" t="str">
        <f>SUBSTITUTE(SUBSTITUTE(tabSource[[#This Row],[ID]],"&lt;",""),"&gt;","")</f>
        <v>61254</v>
      </c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x14ac:dyDescent="0.25">
      <c r="A1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" t="str">
        <f>SUBSTITUTE(SUBSTITUTE(tabSource[[#This Row],[ID]],"&lt;",""),"&gt;","")</f>
        <v>61255</v>
      </c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x14ac:dyDescent="0.25">
      <c r="A1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" t="str">
        <f>SUBSTITUTE(SUBSTITUTE(tabSource[[#This Row],[ID]],"&lt;",""),"&gt;","")</f>
        <v>61255-3</v>
      </c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x14ac:dyDescent="0.25">
      <c r="A1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2" t="str">
        <f>SUBSTITUTE(SUBSTITUTE(tabSource[[#This Row],[ID]],"&lt;",""),"&gt;","")</f>
        <v>61257</v>
      </c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x14ac:dyDescent="0.25">
      <c r="A1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3" t="str">
        <f>SUBSTITUTE(SUBSTITUTE(tabSource[[#This Row],[ID]],"&lt;",""),"&gt;","")</f>
        <v>61261</v>
      </c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x14ac:dyDescent="0.25">
      <c r="A1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4" t="str">
        <f>SUBSTITUTE(SUBSTITUTE(tabSource[[#This Row],[ID]],"&lt;",""),"&gt;","")</f>
        <v>61265</v>
      </c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x14ac:dyDescent="0.25">
      <c r="A1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5" t="str">
        <f>SUBSTITUTE(SUBSTITUTE(tabSource[[#This Row],[ID]],"&lt;",""),"&gt;","")</f>
        <v>61267</v>
      </c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x14ac:dyDescent="0.25">
      <c r="A1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6" t="str">
        <f>SUBSTITUTE(SUBSTITUTE(tabSource[[#This Row],[ID]],"&lt;",""),"&gt;","")</f>
        <v>61271</v>
      </c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x14ac:dyDescent="0.25">
      <c r="A1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7" t="str">
        <f>SUBSTITUTE(SUBSTITUTE(tabSource[[#This Row],[ID]],"&lt;",""),"&gt;","")</f>
        <v>61275</v>
      </c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x14ac:dyDescent="0.25">
      <c r="A1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8" t="str">
        <f>SUBSTITUTE(SUBSTITUTE(tabSource[[#This Row],[ID]],"&lt;",""),"&gt;","")</f>
        <v>61281</v>
      </c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x14ac:dyDescent="0.25">
      <c r="A1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9" t="str">
        <f>SUBSTITUTE(SUBSTITUTE(tabSource[[#This Row],[ID]],"&lt;",""),"&gt;","")</f>
        <v>61285</v>
      </c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x14ac:dyDescent="0.25">
      <c r="A2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0" t="str">
        <f>SUBSTITUTE(SUBSTITUTE(tabSource[[#This Row],[ID]],"&lt;",""),"&gt;","")</f>
        <v>61430</v>
      </c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x14ac:dyDescent="0.25">
      <c r="A2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1" t="str">
        <f>SUBSTITUTE(SUBSTITUTE(tabSource[[#This Row],[ID]],"&lt;",""),"&gt;","")</f>
        <v>61430-V4A-P</v>
      </c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x14ac:dyDescent="0.25">
      <c r="A2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2" t="str">
        <f>SUBSTITUTE(SUBSTITUTE(tabSource[[#This Row],[ID]],"&lt;",""),"&gt;","")</f>
        <v>61431</v>
      </c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x14ac:dyDescent="0.25">
      <c r="A2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3" t="str">
        <f>SUBSTITUTE(SUBSTITUTE(tabSource[[#This Row],[ID]],"&lt;",""),"&gt;","")</f>
        <v>61432</v>
      </c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x14ac:dyDescent="0.25">
      <c r="A2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4" t="str">
        <f>SUBSTITUTE(SUBSTITUTE(tabSource[[#This Row],[ID]],"&lt;",""),"&gt;","")</f>
        <v>61433</v>
      </c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x14ac:dyDescent="0.25">
      <c r="A2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5" t="str">
        <f>SUBSTITUTE(SUBSTITUTE(tabSource[[#This Row],[ID]],"&lt;",""),"&gt;","")</f>
        <v>61434</v>
      </c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x14ac:dyDescent="0.25">
      <c r="A2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6" t="str">
        <f>SUBSTITUTE(SUBSTITUTE(tabSource[[#This Row],[ID]],"&lt;",""),"&gt;","")</f>
        <v>61434-V4A-P</v>
      </c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x14ac:dyDescent="0.25">
      <c r="A2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7" t="str">
        <f>SUBSTITUTE(SUBSTITUTE(tabSource[[#This Row],[ID]],"&lt;",""),"&gt;","")</f>
        <v>61435</v>
      </c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x14ac:dyDescent="0.25">
      <c r="A2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8" t="str">
        <f>SUBSTITUTE(SUBSTITUTE(tabSource[[#This Row],[ID]],"&lt;",""),"&gt;","")</f>
        <v>61436</v>
      </c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x14ac:dyDescent="0.25">
      <c r="A2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09" t="str">
        <f>SUBSTITUTE(SUBSTITUTE(tabSource[[#This Row],[ID]],"&lt;",""),"&gt;","")</f>
        <v>61437</v>
      </c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x14ac:dyDescent="0.25">
      <c r="A2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0" t="str">
        <f>SUBSTITUTE(SUBSTITUTE(tabSource[[#This Row],[ID]],"&lt;",""),"&gt;","")</f>
        <v>61438</v>
      </c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x14ac:dyDescent="0.25">
      <c r="A2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1" t="str">
        <f>SUBSTITUTE(SUBSTITUTE(tabSource[[#This Row],[ID]],"&lt;",""),"&gt;","")</f>
        <v>61439</v>
      </c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x14ac:dyDescent="0.25">
      <c r="A2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2" t="str">
        <f>SUBSTITUTE(SUBSTITUTE(tabSource[[#This Row],[ID]],"&lt;",""),"&gt;","")</f>
        <v>61442</v>
      </c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x14ac:dyDescent="0.25">
      <c r="A2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3" t="str">
        <f>SUBSTITUTE(SUBSTITUTE(tabSource[[#This Row],[ID]],"&lt;",""),"&gt;","")</f>
        <v>61443</v>
      </c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x14ac:dyDescent="0.25">
      <c r="A2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4" t="str">
        <f>SUBSTITUTE(SUBSTITUTE(tabSource[[#This Row],[ID]],"&lt;",""),"&gt;","")</f>
        <v>61444</v>
      </c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x14ac:dyDescent="0.25">
      <c r="A2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5" t="str">
        <f>SUBSTITUTE(SUBSTITUTE(tabSource[[#This Row],[ID]],"&lt;",""),"&gt;","")</f>
        <v>61445</v>
      </c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x14ac:dyDescent="0.25">
      <c r="A2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6" t="str">
        <f>SUBSTITUTE(SUBSTITUTE(tabSource[[#This Row],[ID]],"&lt;",""),"&gt;","")</f>
        <v>61446</v>
      </c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x14ac:dyDescent="0.25">
      <c r="A2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7" t="str">
        <f>SUBSTITUTE(SUBSTITUTE(tabSource[[#This Row],[ID]],"&lt;",""),"&gt;","")</f>
        <v>61457</v>
      </c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x14ac:dyDescent="0.25">
      <c r="A2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8" t="str">
        <f>SUBSTITUTE(SUBSTITUTE(tabSource[[#This Row],[ID]],"&lt;",""),"&gt;","")</f>
        <v>61458</v>
      </c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x14ac:dyDescent="0.25">
      <c r="A2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19" t="str">
        <f>SUBSTITUTE(SUBSTITUTE(tabSource[[#This Row],[ID]],"&lt;",""),"&gt;","")</f>
        <v>61458-V4A</v>
      </c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x14ac:dyDescent="0.25">
      <c r="A2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0" t="str">
        <f>SUBSTITUTE(SUBSTITUTE(tabSource[[#This Row],[ID]],"&lt;",""),"&gt;","")</f>
        <v>61458-V4A-P</v>
      </c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x14ac:dyDescent="0.25">
      <c r="A2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1" t="str">
        <f>SUBSTITUTE(SUBSTITUTE(tabSource[[#This Row],[ID]],"&lt;",""),"&gt;","")</f>
        <v>61459</v>
      </c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x14ac:dyDescent="0.25">
      <c r="A2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2" t="str">
        <f>SUBSTITUTE(SUBSTITUTE(tabSource[[#This Row],[ID]],"&lt;",""),"&gt;","")</f>
        <v>62313</v>
      </c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 spans="1:20" x14ac:dyDescent="0.25">
      <c r="A2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3" t="str">
        <f>SUBSTITUTE(SUBSTITUTE(tabSource[[#This Row],[ID]],"&lt;",""),"&gt;","")</f>
        <v>62314</v>
      </c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 spans="1:20" x14ac:dyDescent="0.25">
      <c r="A2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4" t="str">
        <f>SUBSTITUTE(SUBSTITUTE(tabSource[[#This Row],[ID]],"&lt;",""),"&gt;","")</f>
        <v>62314-V4A</v>
      </c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 spans="1:20" x14ac:dyDescent="0.25">
      <c r="A2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5" t="str">
        <f>SUBSTITUTE(SUBSTITUTE(tabSource[[#This Row],[ID]],"&lt;",""),"&gt;","")</f>
        <v>62314-V4A-P</v>
      </c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 spans="1:20" x14ac:dyDescent="0.25">
      <c r="A2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6" t="str">
        <f>SUBSTITUTE(SUBSTITUTE(tabSource[[#This Row],[ID]],"&lt;",""),"&gt;","")</f>
        <v>62315</v>
      </c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 spans="1:20" x14ac:dyDescent="0.25">
      <c r="A2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7" t="str">
        <f>SUBSTITUTE(SUBSTITUTE(tabSource[[#This Row],[ID]],"&lt;",""),"&gt;","")</f>
        <v>62315-V4A</v>
      </c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 spans="1:20" x14ac:dyDescent="0.25">
      <c r="A2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8" t="str">
        <f>SUBSTITUTE(SUBSTITUTE(tabSource[[#This Row],[ID]],"&lt;",""),"&gt;","")</f>
        <v>62315-V4A-P</v>
      </c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 spans="1:20" x14ac:dyDescent="0.25">
      <c r="A2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29" t="str">
        <f>SUBSTITUTE(SUBSTITUTE(tabSource[[#This Row],[ID]],"&lt;",""),"&gt;","")</f>
        <v>62318</v>
      </c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 spans="1:20" x14ac:dyDescent="0.25">
      <c r="A2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0" t="str">
        <f>SUBSTITUTE(SUBSTITUTE(tabSource[[#This Row],[ID]],"&lt;",""),"&gt;","")</f>
        <v>62319</v>
      </c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 spans="1:20" x14ac:dyDescent="0.25">
      <c r="A2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1" t="str">
        <f>SUBSTITUTE(SUBSTITUTE(tabSource[[#This Row],[ID]],"&lt;",""),"&gt;","")</f>
        <v>62320</v>
      </c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 spans="1:20" x14ac:dyDescent="0.25">
      <c r="A2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2" t="str">
        <f>SUBSTITUTE(SUBSTITUTE(tabSource[[#This Row],[ID]],"&lt;",""),"&gt;","")</f>
        <v>62324</v>
      </c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 spans="1:20" x14ac:dyDescent="0.25">
      <c r="A2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3" t="str">
        <f>SUBSTITUTE(SUBSTITUTE(tabSource[[#This Row],[ID]],"&lt;",""),"&gt;","")</f>
        <v>62325</v>
      </c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 spans="1:20" x14ac:dyDescent="0.25">
      <c r="A2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4" t="str">
        <f>SUBSTITUTE(SUBSTITUTE(tabSource[[#This Row],[ID]],"&lt;",""),"&gt;","")</f>
        <v>62332</v>
      </c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 spans="1:20" x14ac:dyDescent="0.25">
      <c r="A2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5" t="str">
        <f>SUBSTITUTE(SUBSTITUTE(tabSource[[#This Row],[ID]],"&lt;",""),"&gt;","")</f>
        <v>62336</v>
      </c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 spans="1:20" x14ac:dyDescent="0.25">
      <c r="A2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6" t="str">
        <f>SUBSTITUTE(SUBSTITUTE(tabSource[[#This Row],[ID]],"&lt;",""),"&gt;","")</f>
        <v>62336-3</v>
      </c>
      <c r="D236"/>
      <c r="E236"/>
      <c r="F236"/>
      <c r="G236"/>
      <c r="I236"/>
      <c r="J236"/>
      <c r="K236"/>
      <c r="L236"/>
      <c r="M236"/>
      <c r="P236"/>
      <c r="Q236"/>
      <c r="R236"/>
      <c r="S236"/>
      <c r="T236"/>
    </row>
    <row r="237" spans="1:20" x14ac:dyDescent="0.25">
      <c r="A2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7" t="str">
        <f>SUBSTITUTE(SUBSTITUTE(tabSource[[#This Row],[ID]],"&lt;",""),"&gt;","")</f>
        <v>62336-V4A</v>
      </c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</row>
    <row r="238" spans="1:20" x14ac:dyDescent="0.25">
      <c r="A2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8" t="str">
        <f>SUBSTITUTE(SUBSTITUTE(tabSource[[#This Row],[ID]],"&lt;",""),"&gt;","")</f>
        <v>62336-V4A-P</v>
      </c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</row>
    <row r="239" spans="1:20" x14ac:dyDescent="0.25">
      <c r="A2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39" t="str">
        <f>SUBSTITUTE(SUBSTITUTE(tabSource[[#This Row],[ID]],"&lt;",""),"&gt;","")</f>
        <v>62337</v>
      </c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</row>
    <row r="240" spans="1:20" x14ac:dyDescent="0.25">
      <c r="A2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0" t="str">
        <f>SUBSTITUTE(SUBSTITUTE(tabSource[[#This Row],[ID]],"&lt;",""),"&gt;","")</f>
        <v>62337-V4A</v>
      </c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</row>
    <row r="241" spans="1:20" x14ac:dyDescent="0.25">
      <c r="A2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1" t="str">
        <f>SUBSTITUTE(SUBSTITUTE(tabSource[[#This Row],[ID]],"&lt;",""),"&gt;","")</f>
        <v>62337-V4A-P</v>
      </c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1:20" x14ac:dyDescent="0.25">
      <c r="A2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2" t="str">
        <f>SUBSTITUTE(SUBSTITUTE(tabSource[[#This Row],[ID]],"&lt;",""),"&gt;","")</f>
        <v>62358</v>
      </c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1:20" x14ac:dyDescent="0.25">
      <c r="A2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3" t="str">
        <f>SUBSTITUTE(SUBSTITUTE(tabSource[[#This Row],[ID]],"&lt;",""),"&gt;","")</f>
        <v>62359</v>
      </c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1:20" x14ac:dyDescent="0.25">
      <c r="A2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4" t="str">
        <f>SUBSTITUTE(SUBSTITUTE(tabSource[[#This Row],[ID]],"&lt;",""),"&gt;","")</f>
        <v>62386</v>
      </c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1:20" x14ac:dyDescent="0.25">
      <c r="A2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5" t="str">
        <f>SUBSTITUTE(SUBSTITUTE(tabSource[[#This Row],[ID]],"&lt;",""),"&gt;","")</f>
        <v>62391</v>
      </c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1:20" x14ac:dyDescent="0.25">
      <c r="A2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6" t="str">
        <f>SUBSTITUTE(SUBSTITUTE(tabSource[[#This Row],[ID]],"&lt;",""),"&gt;","")</f>
        <v>62391-V4A</v>
      </c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1:20" x14ac:dyDescent="0.25">
      <c r="A2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7" t="str">
        <f>SUBSTITUTE(SUBSTITUTE(tabSource[[#This Row],[ID]],"&lt;",""),"&gt;","")</f>
        <v>62391-V4A-P</v>
      </c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1:20" x14ac:dyDescent="0.25">
      <c r="A2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8" t="str">
        <f>SUBSTITUTE(SUBSTITUTE(tabSource[[#This Row],[ID]],"&lt;",""),"&gt;","")</f>
        <v>62393</v>
      </c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1:20" x14ac:dyDescent="0.25">
      <c r="A2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49" t="str">
        <f>SUBSTITUTE(SUBSTITUTE(tabSource[[#This Row],[ID]],"&lt;",""),"&gt;","")</f>
        <v>62393-V4A</v>
      </c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1:20" x14ac:dyDescent="0.25">
      <c r="A2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0" t="str">
        <f>SUBSTITUTE(SUBSTITUTE(tabSource[[#This Row],[ID]],"&lt;",""),"&gt;","")</f>
        <v>62393-V4A-P</v>
      </c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1:20" x14ac:dyDescent="0.25">
      <c r="A2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1" t="str">
        <f>SUBSTITUTE(SUBSTITUTE(tabSource[[#This Row],[ID]],"&lt;",""),"&gt;","")</f>
        <v>62396</v>
      </c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1:20" x14ac:dyDescent="0.25">
      <c r="A2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2" t="str">
        <f>SUBSTITUTE(SUBSTITUTE(tabSource[[#This Row],[ID]],"&lt;",""),"&gt;","")</f>
        <v>62396-V4A</v>
      </c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1:20" x14ac:dyDescent="0.25">
      <c r="A2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3" t="str">
        <f>SUBSTITUTE(SUBSTITUTE(tabSource[[#This Row],[ID]],"&lt;",""),"&gt;","")</f>
        <v>62396-V4A-P</v>
      </c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1:20" x14ac:dyDescent="0.25">
      <c r="A2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4" t="str">
        <f>SUBSTITUTE(SUBSTITUTE(tabSource[[#This Row],[ID]],"&lt;",""),"&gt;","")</f>
        <v>62405</v>
      </c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1:20" x14ac:dyDescent="0.25">
      <c r="A2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5" t="str">
        <f>SUBSTITUTE(SUBSTITUTE(tabSource[[#This Row],[ID]],"&lt;",""),"&gt;","")</f>
        <v>62406</v>
      </c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1:20" x14ac:dyDescent="0.25">
      <c r="A2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6" t="str">
        <f>SUBSTITUTE(SUBSTITUTE(tabSource[[#This Row],[ID]],"&lt;",""),"&gt;","")</f>
        <v>62407</v>
      </c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1:20" x14ac:dyDescent="0.25">
      <c r="A2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7" t="str">
        <f>SUBSTITUTE(SUBSTITUTE(tabSource[[#This Row],[ID]],"&lt;",""),"&gt;","")</f>
        <v>62407-V4A</v>
      </c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1:20" x14ac:dyDescent="0.25">
      <c r="A2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8" t="str">
        <f>SUBSTITUTE(SUBSTITUTE(tabSource[[#This Row],[ID]],"&lt;",""),"&gt;","")</f>
        <v>62408</v>
      </c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1:20" x14ac:dyDescent="0.25">
      <c r="A2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59" t="str">
        <f>SUBSTITUTE(SUBSTITUTE(tabSource[[#This Row],[ID]],"&lt;",""),"&gt;","")</f>
        <v>62408-V4A</v>
      </c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1:20" x14ac:dyDescent="0.25">
      <c r="A2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0" t="str">
        <f>SUBSTITUTE(SUBSTITUTE(tabSource[[#This Row],[ID]],"&lt;",""),"&gt;","")</f>
        <v>62412</v>
      </c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1:20" x14ac:dyDescent="0.25">
      <c r="A2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1" t="str">
        <f>SUBSTITUTE(SUBSTITUTE(tabSource[[#This Row],[ID]],"&lt;",""),"&gt;","")</f>
        <v>62422</v>
      </c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1:20" x14ac:dyDescent="0.25">
      <c r="A2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2" t="str">
        <f>SUBSTITUTE(SUBSTITUTE(tabSource[[#This Row],[ID]],"&lt;",""),"&gt;","")</f>
        <v>62423</v>
      </c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1:20" x14ac:dyDescent="0.25">
      <c r="A2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3" t="str">
        <f>SUBSTITUTE(SUBSTITUTE(tabSource[[#This Row],[ID]],"&lt;",""),"&gt;","")</f>
        <v>62424</v>
      </c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1:20" x14ac:dyDescent="0.25">
      <c r="A2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4" t="str">
        <f>SUBSTITUTE(SUBSTITUTE(tabSource[[#This Row],[ID]],"&lt;",""),"&gt;","")</f>
        <v>62424S</v>
      </c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1:20" x14ac:dyDescent="0.25">
      <c r="A2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5" t="str">
        <f>SUBSTITUTE(SUBSTITUTE(tabSource[[#This Row],[ID]],"&lt;",""),"&gt;","")</f>
        <v>62424S-V4A</v>
      </c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1:20" x14ac:dyDescent="0.25">
      <c r="A2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6" t="str">
        <f>SUBSTITUTE(SUBSTITUTE(tabSource[[#This Row],[ID]],"&lt;",""),"&gt;","")</f>
        <v>62424S-V4A-P</v>
      </c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1:20" x14ac:dyDescent="0.25">
      <c r="A2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7" t="str">
        <f>SUBSTITUTE(SUBSTITUTE(tabSource[[#This Row],[ID]],"&lt;",""),"&gt;","")</f>
        <v>62424-V4A</v>
      </c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1:20" x14ac:dyDescent="0.25">
      <c r="A2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8" t="str">
        <f>SUBSTITUTE(SUBSTITUTE(tabSource[[#This Row],[ID]],"&lt;",""),"&gt;","")</f>
        <v>62424-V4A-P</v>
      </c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1:20" x14ac:dyDescent="0.25">
      <c r="A2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69" t="str">
        <f>SUBSTITUTE(SUBSTITUTE(tabSource[[#This Row],[ID]],"&lt;",""),"&gt;","")</f>
        <v>62425</v>
      </c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1:20" x14ac:dyDescent="0.25">
      <c r="A2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0" t="str">
        <f>SUBSTITUTE(SUBSTITUTE(tabSource[[#This Row],[ID]],"&lt;",""),"&gt;","")</f>
        <v>62425-V4A</v>
      </c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1:20" x14ac:dyDescent="0.25">
      <c r="A2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1" t="str">
        <f>SUBSTITUTE(SUBSTITUTE(tabSource[[#This Row],[ID]],"&lt;",""),"&gt;","")</f>
        <v>62425-V4A-P</v>
      </c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1:20" x14ac:dyDescent="0.25">
      <c r="A2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2" t="str">
        <f>SUBSTITUTE(SUBSTITUTE(tabSource[[#This Row],[ID]],"&lt;",""),"&gt;","")</f>
        <v>62432</v>
      </c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1:20" x14ac:dyDescent="0.25">
      <c r="A2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3" t="str">
        <f>SUBSTITUTE(SUBSTITUTE(tabSource[[#This Row],[ID]],"&lt;",""),"&gt;","")</f>
        <v>62432-V4A</v>
      </c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1:20" x14ac:dyDescent="0.25">
      <c r="A2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4" t="str">
        <f>SUBSTITUTE(SUBSTITUTE(tabSource[[#This Row],[ID]],"&lt;",""),"&gt;","")</f>
        <v>62433</v>
      </c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1:20" x14ac:dyDescent="0.25">
      <c r="A2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5" t="str">
        <f>SUBSTITUTE(SUBSTITUTE(tabSource[[#This Row],[ID]],"&lt;",""),"&gt;","")</f>
        <v>62433-V4A</v>
      </c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1:20" x14ac:dyDescent="0.25">
      <c r="A2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6" t="str">
        <f>SUBSTITUTE(SUBSTITUTE(tabSource[[#This Row],[ID]],"&lt;",""),"&gt;","")</f>
        <v>62442</v>
      </c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1:20" x14ac:dyDescent="0.25">
      <c r="A2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7" t="str">
        <f>SUBSTITUTE(SUBSTITUTE(tabSource[[#This Row],[ID]],"&lt;",""),"&gt;","")</f>
        <v>62450</v>
      </c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1:20" x14ac:dyDescent="0.25">
      <c r="A2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8" t="str">
        <f>SUBSTITUTE(SUBSTITUTE(tabSource[[#This Row],[ID]],"&lt;",""),"&gt;","")</f>
        <v>62451</v>
      </c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1:20" x14ac:dyDescent="0.25">
      <c r="A2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79" t="str">
        <f>SUBSTITUTE(SUBSTITUTE(tabSource[[#This Row],[ID]],"&lt;",""),"&gt;","")</f>
        <v>62451-V</v>
      </c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1:20" x14ac:dyDescent="0.25">
      <c r="A2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0" t="str">
        <f>SUBSTITUTE(SUBSTITUTE(tabSource[[#This Row],[ID]],"&lt;",""),"&gt;","")</f>
        <v>62452</v>
      </c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1:20" x14ac:dyDescent="0.25">
      <c r="A2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1" t="str">
        <f>SUBSTITUTE(SUBSTITUTE(tabSource[[#This Row],[ID]],"&lt;",""),"&gt;","")</f>
        <v>62453</v>
      </c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1:20" x14ac:dyDescent="0.25">
      <c r="A2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2" t="str">
        <f>SUBSTITUTE(SUBSTITUTE(tabSource[[#This Row],[ID]],"&lt;",""),"&gt;","")</f>
        <v>62453-V</v>
      </c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1:20" x14ac:dyDescent="0.25">
      <c r="A2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3" t="str">
        <f>SUBSTITUTE(SUBSTITUTE(tabSource[[#This Row],[ID]],"&lt;",""),"&gt;","")</f>
        <v>62454</v>
      </c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1:20" x14ac:dyDescent="0.25">
      <c r="A2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4" t="str">
        <f>SUBSTITUTE(SUBSTITUTE(tabSource[[#This Row],[ID]],"&lt;",""),"&gt;","")</f>
        <v>62455</v>
      </c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1:20" x14ac:dyDescent="0.25">
      <c r="A2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5" t="str">
        <f>SUBSTITUTE(SUBSTITUTE(tabSource[[#This Row],[ID]],"&lt;",""),"&gt;","")</f>
        <v>62455-V</v>
      </c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1:20" x14ac:dyDescent="0.25">
      <c r="A2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6" t="str">
        <f>SUBSTITUTE(SUBSTITUTE(tabSource[[#This Row],[ID]],"&lt;",""),"&gt;","")</f>
        <v>62456</v>
      </c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1:20" x14ac:dyDescent="0.25">
      <c r="A2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7" t="str">
        <f>SUBSTITUTE(SUBSTITUTE(tabSource[[#This Row],[ID]],"&lt;",""),"&gt;","")</f>
        <v>62457</v>
      </c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1:20" x14ac:dyDescent="0.25">
      <c r="A2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8" t="str">
        <f>SUBSTITUTE(SUBSTITUTE(tabSource[[#This Row],[ID]],"&lt;",""),"&gt;","")</f>
        <v>62457-V</v>
      </c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1:20" x14ac:dyDescent="0.25">
      <c r="A2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89" t="str">
        <f>SUBSTITUTE(SUBSTITUTE(tabSource[[#This Row],[ID]],"&lt;",""),"&gt;","")</f>
        <v>62461</v>
      </c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1:20" x14ac:dyDescent="0.25">
      <c r="A2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0" t="str">
        <f>SUBSTITUTE(SUBSTITUTE(tabSource[[#This Row],[ID]],"&lt;",""),"&gt;","")</f>
        <v>62461-V4A</v>
      </c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1:20" x14ac:dyDescent="0.25">
      <c r="A2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1" t="str">
        <f>SUBSTITUTE(SUBSTITUTE(tabSource[[#This Row],[ID]],"&lt;",""),"&gt;","")</f>
        <v>62462</v>
      </c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1:20" x14ac:dyDescent="0.25">
      <c r="A2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2" t="str">
        <f>SUBSTITUTE(SUBSTITUTE(tabSource[[#This Row],[ID]],"&lt;",""),"&gt;","")</f>
        <v>62462-V4A</v>
      </c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1:20" x14ac:dyDescent="0.25">
      <c r="A2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3" t="str">
        <f>SUBSTITUTE(SUBSTITUTE(tabSource[[#This Row],[ID]],"&lt;",""),"&gt;","")</f>
        <v>62463</v>
      </c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1:20" x14ac:dyDescent="0.25">
      <c r="A2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4" t="str">
        <f>SUBSTITUTE(SUBSTITUTE(tabSource[[#This Row],[ID]],"&lt;",""),"&gt;","")</f>
        <v>62463-V4A</v>
      </c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1:20" x14ac:dyDescent="0.25">
      <c r="A2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5" t="str">
        <f>SUBSTITUTE(SUBSTITUTE(tabSource[[#This Row],[ID]],"&lt;",""),"&gt;","")</f>
        <v>62471</v>
      </c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1:20" x14ac:dyDescent="0.25">
      <c r="A2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6" t="str">
        <f>SUBSTITUTE(SUBSTITUTE(tabSource[[#This Row],[ID]],"&lt;",""),"&gt;","")</f>
        <v>62471-V4A</v>
      </c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1:20" x14ac:dyDescent="0.25">
      <c r="A2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7" t="str">
        <f>SUBSTITUTE(SUBSTITUTE(tabSource[[#This Row],[ID]],"&lt;",""),"&gt;","")</f>
        <v>62472</v>
      </c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1:20" x14ac:dyDescent="0.25">
      <c r="A2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8" t="str">
        <f>SUBSTITUTE(SUBSTITUTE(tabSource[[#This Row],[ID]],"&lt;",""),"&gt;","")</f>
        <v>62472-V4A</v>
      </c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1:20" x14ac:dyDescent="0.25">
      <c r="A2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2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299" t="str">
        <f>SUBSTITUTE(SUBSTITUTE(tabSource[[#This Row],[ID]],"&lt;",""),"&gt;","")</f>
        <v>62473</v>
      </c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1:20" x14ac:dyDescent="0.25">
      <c r="A3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0" t="str">
        <f>SUBSTITUTE(SUBSTITUTE(tabSource[[#This Row],[ID]],"&lt;",""),"&gt;","")</f>
        <v>62473-V4A</v>
      </c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1:20" x14ac:dyDescent="0.25">
      <c r="A3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1" t="str">
        <f>SUBSTITUTE(SUBSTITUTE(tabSource[[#This Row],[ID]],"&lt;",""),"&gt;","")</f>
        <v>62499</v>
      </c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1:20" x14ac:dyDescent="0.25">
      <c r="A3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2" t="str">
        <f>SUBSTITUTE(SUBSTITUTE(tabSource[[#This Row],[ID]],"&lt;",""),"&gt;","")</f>
        <v>62501</v>
      </c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1:20" x14ac:dyDescent="0.25">
      <c r="A3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3" t="str">
        <f>SUBSTITUTE(SUBSTITUTE(tabSource[[#This Row],[ID]],"&lt;",""),"&gt;","")</f>
        <v>62502</v>
      </c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1:20" x14ac:dyDescent="0.25">
      <c r="A3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4" t="str">
        <f>SUBSTITUTE(SUBSTITUTE(tabSource[[#This Row],[ID]],"&lt;",""),"&gt;","")</f>
        <v>62505</v>
      </c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1:20" x14ac:dyDescent="0.25">
      <c r="A3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5" t="str">
        <f>SUBSTITUTE(SUBSTITUTE(tabSource[[#This Row],[ID]],"&lt;",""),"&gt;","")</f>
        <v>62505-V4A</v>
      </c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1:20" x14ac:dyDescent="0.25">
      <c r="A3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6" t="str">
        <f>SUBSTITUTE(SUBSTITUTE(tabSource[[#This Row],[ID]],"&lt;",""),"&gt;","")</f>
        <v>62506</v>
      </c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1:20" x14ac:dyDescent="0.25">
      <c r="A3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7" t="str">
        <f>SUBSTITUTE(SUBSTITUTE(tabSource[[#This Row],[ID]],"&lt;",""),"&gt;","")</f>
        <v>62507</v>
      </c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1:20" x14ac:dyDescent="0.25">
      <c r="A3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8" t="str">
        <f>SUBSTITUTE(SUBSTITUTE(tabSource[[#This Row],[ID]],"&lt;",""),"&gt;","")</f>
        <v>62507-V4A</v>
      </c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1:20" x14ac:dyDescent="0.25">
      <c r="A3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09" t="str">
        <f>SUBSTITUTE(SUBSTITUTE(tabSource[[#This Row],[ID]],"&lt;",""),"&gt;","")</f>
        <v>62508</v>
      </c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1:20" x14ac:dyDescent="0.25">
      <c r="A3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0" t="str">
        <f>SUBSTITUTE(SUBSTITUTE(tabSource[[#This Row],[ID]],"&lt;",""),"&gt;","")</f>
        <v>62514</v>
      </c>
      <c r="D310"/>
      <c r="E310"/>
      <c r="F310"/>
      <c r="G310"/>
      <c r="I310"/>
      <c r="J310"/>
      <c r="K310"/>
      <c r="L310"/>
      <c r="M310"/>
      <c r="P310"/>
      <c r="Q310"/>
      <c r="R310"/>
      <c r="S310"/>
      <c r="T310"/>
    </row>
    <row r="311" spans="1:20" x14ac:dyDescent="0.25">
      <c r="A3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1" t="str">
        <f>SUBSTITUTE(SUBSTITUTE(tabSource[[#This Row],[ID]],"&lt;",""),"&gt;","")</f>
        <v>62516</v>
      </c>
      <c r="D311"/>
      <c r="E311"/>
      <c r="F311"/>
      <c r="G311"/>
      <c r="I311"/>
      <c r="J311"/>
      <c r="K311"/>
      <c r="L311"/>
      <c r="M311"/>
      <c r="P311"/>
      <c r="Q311"/>
      <c r="R311"/>
      <c r="S311"/>
      <c r="T311"/>
    </row>
    <row r="312" spans="1:20" x14ac:dyDescent="0.25">
      <c r="A3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2" t="str">
        <f>SUBSTITUTE(SUBSTITUTE(tabSource[[#This Row],[ID]],"&lt;",""),"&gt;","")</f>
        <v>62522</v>
      </c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1:20" x14ac:dyDescent="0.25">
      <c r="A3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3" t="str">
        <f>SUBSTITUTE(SUBSTITUTE(tabSource[[#This Row],[ID]],"&lt;",""),"&gt;","")</f>
        <v>62522-V4A</v>
      </c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1:20" x14ac:dyDescent="0.25">
      <c r="A3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4" t="str">
        <f>SUBSTITUTE(SUBSTITUTE(tabSource[[#This Row],[ID]],"&lt;",""),"&gt;","")</f>
        <v>62522-V4A-P</v>
      </c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1:20" x14ac:dyDescent="0.25">
      <c r="A3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5" t="str">
        <f>SUBSTITUTE(SUBSTITUTE(tabSource[[#This Row],[ID]],"&lt;",""),"&gt;","")</f>
        <v>62523</v>
      </c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1:20" x14ac:dyDescent="0.25">
      <c r="A3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6" t="str">
        <f>SUBSTITUTE(SUBSTITUTE(tabSource[[#This Row],[ID]],"&lt;",""),"&gt;","")</f>
        <v>62523-V4A</v>
      </c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1:20" x14ac:dyDescent="0.25">
      <c r="A3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7" t="str">
        <f>SUBSTITUTE(SUBSTITUTE(tabSource[[#This Row],[ID]],"&lt;",""),"&gt;","")</f>
        <v>62523-V4A-P</v>
      </c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1:20" x14ac:dyDescent="0.25">
      <c r="A3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8" t="str">
        <f>SUBSTITUTE(SUBSTITUTE(tabSource[[#This Row],[ID]],"&lt;",""),"&gt;","")</f>
        <v>62524</v>
      </c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1:20" x14ac:dyDescent="0.25">
      <c r="A3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19" t="str">
        <f>SUBSTITUTE(SUBSTITUTE(tabSource[[#This Row],[ID]],"&lt;",""),"&gt;","")</f>
        <v>62524-V4A</v>
      </c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1:20" x14ac:dyDescent="0.25">
      <c r="A3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0" t="str">
        <f>SUBSTITUTE(SUBSTITUTE(tabSource[[#This Row],[ID]],"&lt;",""),"&gt;","")</f>
        <v>62524-V4A-P</v>
      </c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1:20" x14ac:dyDescent="0.25">
      <c r="A3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1" t="str">
        <f>SUBSTITUTE(SUBSTITUTE(tabSource[[#This Row],[ID]],"&lt;",""),"&gt;","")</f>
        <v>62525-V4A</v>
      </c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1:20" x14ac:dyDescent="0.25">
      <c r="A3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2" t="str">
        <f>SUBSTITUTE(SUBSTITUTE(tabSource[[#This Row],[ID]],"&lt;",""),"&gt;","")</f>
        <v>62526</v>
      </c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1:20" x14ac:dyDescent="0.25">
      <c r="A3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3" t="str">
        <f>SUBSTITUTE(SUBSTITUTE(tabSource[[#This Row],[ID]],"&lt;",""),"&gt;","")</f>
        <v>62526-V4A</v>
      </c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1:20" x14ac:dyDescent="0.25">
      <c r="A3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4" t="str">
        <f>SUBSTITUTE(SUBSTITUTE(tabSource[[#This Row],[ID]],"&lt;",""),"&gt;","")</f>
        <v>62526-V4A-P</v>
      </c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1:20" x14ac:dyDescent="0.25">
      <c r="A3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5" t="str">
        <f>SUBSTITUTE(SUBSTITUTE(tabSource[[#This Row],[ID]],"&lt;",""),"&gt;","")</f>
        <v>62527</v>
      </c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1:20" x14ac:dyDescent="0.25">
      <c r="A3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6" t="str">
        <f>SUBSTITUTE(SUBSTITUTE(tabSource[[#This Row],[ID]],"&lt;",""),"&gt;","")</f>
        <v>62528</v>
      </c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1:20" x14ac:dyDescent="0.25">
      <c r="A3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7" t="str">
        <f>SUBSTITUTE(SUBSTITUTE(tabSource[[#This Row],[ID]],"&lt;",""),"&gt;","")</f>
        <v>62528-V4A</v>
      </c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1:20" x14ac:dyDescent="0.25">
      <c r="A3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8" t="str">
        <f>SUBSTITUTE(SUBSTITUTE(tabSource[[#This Row],[ID]],"&lt;",""),"&gt;","")</f>
        <v>62528-V4A-P</v>
      </c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1:20" x14ac:dyDescent="0.25">
      <c r="A3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29" t="str">
        <f>SUBSTITUTE(SUBSTITUTE(tabSource[[#This Row],[ID]],"&lt;",""),"&gt;","")</f>
        <v>62529</v>
      </c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1:20" x14ac:dyDescent="0.25">
      <c r="A3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0" t="str">
        <f>SUBSTITUTE(SUBSTITUTE(tabSource[[#This Row],[ID]],"&lt;",""),"&gt;","")</f>
        <v>62530</v>
      </c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1:20" x14ac:dyDescent="0.25">
      <c r="A3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1" t="str">
        <f>SUBSTITUTE(SUBSTITUTE(tabSource[[#This Row],[ID]],"&lt;",""),"&gt;","")</f>
        <v>62530-V4A</v>
      </c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1:20" x14ac:dyDescent="0.25">
      <c r="A3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2" t="str">
        <f>SUBSTITUTE(SUBSTITUTE(tabSource[[#This Row],[ID]],"&lt;",""),"&gt;","")</f>
        <v>62530-V4A-P</v>
      </c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1:20" x14ac:dyDescent="0.25">
      <c r="A3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3" t="str">
        <f>SUBSTITUTE(SUBSTITUTE(tabSource[[#This Row],[ID]],"&lt;",""),"&gt;","")</f>
        <v>62531</v>
      </c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1:20" x14ac:dyDescent="0.25">
      <c r="A3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4" t="str">
        <f>SUBSTITUTE(SUBSTITUTE(tabSource[[#This Row],[ID]],"&lt;",""),"&gt;","")</f>
        <v>62532</v>
      </c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1:20" x14ac:dyDescent="0.25">
      <c r="A3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5" t="str">
        <f>SUBSTITUTE(SUBSTITUTE(tabSource[[#This Row],[ID]],"&lt;",""),"&gt;","")</f>
        <v>62532-V4A</v>
      </c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1:20" x14ac:dyDescent="0.25">
      <c r="A3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6" t="str">
        <f>SUBSTITUTE(SUBSTITUTE(tabSource[[#This Row],[ID]],"&lt;",""),"&gt;","")</f>
        <v>62533</v>
      </c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1:20" x14ac:dyDescent="0.25">
      <c r="A3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7" t="str">
        <f>SUBSTITUTE(SUBSTITUTE(tabSource[[#This Row],[ID]],"&lt;",""),"&gt;","")</f>
        <v>62533-R</v>
      </c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1:20" x14ac:dyDescent="0.25">
      <c r="A3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8" t="str">
        <f>SUBSTITUTE(SUBSTITUTE(tabSource[[#This Row],[ID]],"&lt;",""),"&gt;","")</f>
        <v>62534</v>
      </c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1:20" x14ac:dyDescent="0.25">
      <c r="A3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39" t="str">
        <f>SUBSTITUTE(SUBSTITUTE(tabSource[[#This Row],[ID]],"&lt;",""),"&gt;","")</f>
        <v>62534-V4A</v>
      </c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1:20" x14ac:dyDescent="0.25">
      <c r="A3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0" t="str">
        <f>SUBSTITUTE(SUBSTITUTE(tabSource[[#This Row],[ID]],"&lt;",""),"&gt;","")</f>
        <v>62535</v>
      </c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1:20" x14ac:dyDescent="0.25">
      <c r="A3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1" t="str">
        <f>SUBSTITUTE(SUBSTITUTE(tabSource[[#This Row],[ID]],"&lt;",""),"&gt;","")</f>
        <v>62535-R</v>
      </c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1:20" x14ac:dyDescent="0.25">
      <c r="A3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2" t="str">
        <f>SUBSTITUTE(SUBSTITUTE(tabSource[[#This Row],[ID]],"&lt;",""),"&gt;","")</f>
        <v>62536</v>
      </c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1:20" x14ac:dyDescent="0.25">
      <c r="A3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3" t="str">
        <f>SUBSTITUTE(SUBSTITUTE(tabSource[[#This Row],[ID]],"&lt;",""),"&gt;","")</f>
        <v>62536-V4A</v>
      </c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1:20" x14ac:dyDescent="0.25">
      <c r="A3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4" t="str">
        <f>SUBSTITUTE(SUBSTITUTE(tabSource[[#This Row],[ID]],"&lt;",""),"&gt;","")</f>
        <v>62537</v>
      </c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1:20" x14ac:dyDescent="0.25">
      <c r="A3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5" t="str">
        <f>SUBSTITUTE(SUBSTITUTE(tabSource[[#This Row],[ID]],"&lt;",""),"&gt;","")</f>
        <v>62537-V4A</v>
      </c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1:20" x14ac:dyDescent="0.25">
      <c r="A3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6" t="str">
        <f>SUBSTITUTE(SUBSTITUTE(tabSource[[#This Row],[ID]],"&lt;",""),"&gt;","")</f>
        <v>62538</v>
      </c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1:20" x14ac:dyDescent="0.25">
      <c r="A3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7" t="str">
        <f>SUBSTITUTE(SUBSTITUTE(tabSource[[#This Row],[ID]],"&lt;",""),"&gt;","")</f>
        <v>62538-V4A</v>
      </c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1:20" x14ac:dyDescent="0.25">
      <c r="A3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8" t="str">
        <f>SUBSTITUTE(SUBSTITUTE(tabSource[[#This Row],[ID]],"&lt;",""),"&gt;","")</f>
        <v>62539</v>
      </c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1:20" x14ac:dyDescent="0.25">
      <c r="A3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49" t="str">
        <f>SUBSTITUTE(SUBSTITUTE(tabSource[[#This Row],[ID]],"&lt;",""),"&gt;","")</f>
        <v>62539-V4A</v>
      </c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1:20" x14ac:dyDescent="0.25">
      <c r="A3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0" t="str">
        <f>SUBSTITUTE(SUBSTITUTE(tabSource[[#This Row],[ID]],"&lt;",""),"&gt;","")</f>
        <v>62540</v>
      </c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1:20" x14ac:dyDescent="0.25">
      <c r="A3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1" t="str">
        <f>SUBSTITUTE(SUBSTITUTE(tabSource[[#This Row],[ID]],"&lt;",""),"&gt;","")</f>
        <v>62540-V4A</v>
      </c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1:20" x14ac:dyDescent="0.25">
      <c r="A3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2" t="str">
        <f>SUBSTITUTE(SUBSTITUTE(tabSource[[#This Row],[ID]],"&lt;",""),"&gt;","")</f>
        <v>62541</v>
      </c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1:20" x14ac:dyDescent="0.25">
      <c r="A3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3" t="str">
        <f>SUBSTITUTE(SUBSTITUTE(tabSource[[#This Row],[ID]],"&lt;",""),"&gt;","")</f>
        <v>62541-V4A</v>
      </c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1:20" x14ac:dyDescent="0.25">
      <c r="A3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4" t="str">
        <f>SUBSTITUTE(SUBSTITUTE(tabSource[[#This Row],[ID]],"&lt;",""),"&gt;","")</f>
        <v>62542</v>
      </c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1:20" x14ac:dyDescent="0.25">
      <c r="A3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5" t="str">
        <f>SUBSTITUTE(SUBSTITUTE(tabSource[[#This Row],[ID]],"&lt;",""),"&gt;","")</f>
        <v>62543</v>
      </c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1:20" x14ac:dyDescent="0.25">
      <c r="A3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6" t="str">
        <f>SUBSTITUTE(SUBSTITUTE(tabSource[[#This Row],[ID]],"&lt;",""),"&gt;","")</f>
        <v>62544</v>
      </c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1:20" x14ac:dyDescent="0.25">
      <c r="A3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7" t="str">
        <f>SUBSTITUTE(SUBSTITUTE(tabSource[[#This Row],[ID]],"&lt;",""),"&gt;","")</f>
        <v>62544-V4A</v>
      </c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1:20" x14ac:dyDescent="0.25">
      <c r="A3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8" t="str">
        <f>SUBSTITUTE(SUBSTITUTE(tabSource[[#This Row],[ID]],"&lt;",""),"&gt;","")</f>
        <v>62545</v>
      </c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1:20" x14ac:dyDescent="0.25">
      <c r="A3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59" t="str">
        <f>SUBSTITUTE(SUBSTITUTE(tabSource[[#This Row],[ID]],"&lt;",""),"&gt;","")</f>
        <v>62545-V4A</v>
      </c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1:20" x14ac:dyDescent="0.25">
      <c r="A3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0" t="str">
        <f>SUBSTITUTE(SUBSTITUTE(tabSource[[#This Row],[ID]],"&lt;",""),"&gt;","")</f>
        <v>62546</v>
      </c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1:20" x14ac:dyDescent="0.25">
      <c r="A3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1" t="str">
        <f>SUBSTITUTE(SUBSTITUTE(tabSource[[#This Row],[ID]],"&lt;",""),"&gt;","")</f>
        <v>62547</v>
      </c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1:20" x14ac:dyDescent="0.25">
      <c r="A3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2" t="str">
        <f>SUBSTITUTE(SUBSTITUTE(tabSource[[#This Row],[ID]],"&lt;",""),"&gt;","")</f>
        <v>62548</v>
      </c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1:20" x14ac:dyDescent="0.25">
      <c r="A3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3" t="str">
        <f>SUBSTITUTE(SUBSTITUTE(tabSource[[#This Row],[ID]],"&lt;",""),"&gt;","")</f>
        <v>62549</v>
      </c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1:20" x14ac:dyDescent="0.25">
      <c r="A3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4" t="str">
        <f>SUBSTITUTE(SUBSTITUTE(tabSource[[#This Row],[ID]],"&lt;",""),"&gt;","")</f>
        <v>62552</v>
      </c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1:20" x14ac:dyDescent="0.25">
      <c r="A3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5" t="str">
        <f>SUBSTITUTE(SUBSTITUTE(tabSource[[#This Row],[ID]],"&lt;",""),"&gt;","")</f>
        <v>62553</v>
      </c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1:20" x14ac:dyDescent="0.25">
      <c r="A3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6" t="str">
        <f>SUBSTITUTE(SUBSTITUTE(tabSource[[#This Row],[ID]],"&lt;",""),"&gt;","")</f>
        <v>62553-V4A</v>
      </c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1:20" x14ac:dyDescent="0.25">
      <c r="A3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7" t="str">
        <f>SUBSTITUTE(SUBSTITUTE(tabSource[[#This Row],[ID]],"&lt;",""),"&gt;","")</f>
        <v>62553-V4A-P</v>
      </c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1:20" x14ac:dyDescent="0.25">
      <c r="A3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8" t="str">
        <f>SUBSTITUTE(SUBSTITUTE(tabSource[[#This Row],[ID]],"&lt;",""),"&gt;","")</f>
        <v>62556</v>
      </c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</row>
    <row r="369" spans="1:20" x14ac:dyDescent="0.25">
      <c r="A3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69" t="str">
        <f>SUBSTITUTE(SUBSTITUTE(tabSource[[#This Row],[ID]],"&lt;",""),"&gt;","")</f>
        <v>62557</v>
      </c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</row>
    <row r="370" spans="1:20" x14ac:dyDescent="0.25">
      <c r="A3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0" t="str">
        <f>SUBSTITUTE(SUBSTITUTE(tabSource[[#This Row],[ID]],"&lt;",""),"&gt;","")</f>
        <v>62557-V4A</v>
      </c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</row>
    <row r="371" spans="1:20" x14ac:dyDescent="0.25">
      <c r="A3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1" t="str">
        <f>SUBSTITUTE(SUBSTITUTE(tabSource[[#This Row],[ID]],"&lt;",""),"&gt;","")</f>
        <v>62557-V4A-P</v>
      </c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</row>
    <row r="372" spans="1:20" x14ac:dyDescent="0.25">
      <c r="A3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2" t="str">
        <f>SUBSTITUTE(SUBSTITUTE(tabSource[[#This Row],[ID]],"&lt;",""),"&gt;","")</f>
        <v>62558</v>
      </c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</row>
    <row r="373" spans="1:20" x14ac:dyDescent="0.25">
      <c r="A3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3" t="str">
        <f>SUBSTITUTE(SUBSTITUTE(tabSource[[#This Row],[ID]],"&lt;",""),"&gt;","")</f>
        <v>62559</v>
      </c>
      <c r="D373"/>
      <c r="E373"/>
      <c r="F373"/>
      <c r="G373"/>
      <c r="I373"/>
      <c r="J373"/>
      <c r="K373"/>
      <c r="L373"/>
      <c r="M373"/>
      <c r="O373"/>
      <c r="P373"/>
      <c r="Q373"/>
      <c r="R373"/>
      <c r="S373"/>
      <c r="T373"/>
    </row>
    <row r="374" spans="1:20" x14ac:dyDescent="0.25">
      <c r="A3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4" t="str">
        <f>SUBSTITUTE(SUBSTITUTE(tabSource[[#This Row],[ID]],"&lt;",""),"&gt;","")</f>
        <v>62559-N</v>
      </c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</row>
    <row r="375" spans="1:20" x14ac:dyDescent="0.25">
      <c r="A3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5" t="str">
        <f>SUBSTITUTE(SUBSTITUTE(tabSource[[#This Row],[ID]],"&lt;",""),"&gt;","")</f>
        <v>62559-V4A</v>
      </c>
      <c r="D375"/>
      <c r="E375"/>
      <c r="F375"/>
      <c r="G375"/>
      <c r="I375"/>
      <c r="J375"/>
      <c r="K375"/>
      <c r="L375"/>
      <c r="M375"/>
      <c r="O375"/>
      <c r="P375"/>
      <c r="Q375"/>
      <c r="R375"/>
      <c r="S375"/>
      <c r="T375"/>
    </row>
    <row r="376" spans="1:20" x14ac:dyDescent="0.25">
      <c r="A3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6" t="str">
        <f>SUBSTITUTE(SUBSTITUTE(tabSource[[#This Row],[ID]],"&lt;",""),"&gt;","")</f>
        <v>62559-V4A-N</v>
      </c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</row>
    <row r="377" spans="1:20" x14ac:dyDescent="0.25">
      <c r="A3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7" t="str">
        <f>SUBSTITUTE(SUBSTITUTE(tabSource[[#This Row],[ID]],"&lt;",""),"&gt;","")</f>
        <v>62559-V4A-P</v>
      </c>
      <c r="D377"/>
      <c r="E377"/>
      <c r="F377"/>
      <c r="G377"/>
      <c r="I377"/>
      <c r="J377"/>
      <c r="K377"/>
      <c r="L377"/>
      <c r="M377"/>
      <c r="O377"/>
      <c r="P377"/>
      <c r="Q377"/>
      <c r="R377"/>
      <c r="S377"/>
      <c r="T377"/>
    </row>
    <row r="378" spans="1:20" x14ac:dyDescent="0.25">
      <c r="A3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8" t="str">
        <f>SUBSTITUTE(SUBSTITUTE(tabSource[[#This Row],[ID]],"&lt;",""),"&gt;","")</f>
        <v>62559-V4A-P-N</v>
      </c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</row>
    <row r="379" spans="1:20" x14ac:dyDescent="0.25">
      <c r="A3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79" t="str">
        <f>SUBSTITUTE(SUBSTITUTE(tabSource[[#This Row],[ID]],"&lt;",""),"&gt;","")</f>
        <v>62560</v>
      </c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</row>
    <row r="380" spans="1:20" x14ac:dyDescent="0.25">
      <c r="A3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0" t="str">
        <f>SUBSTITUTE(SUBSTITUTE(tabSource[[#This Row],[ID]],"&lt;",""),"&gt;","")</f>
        <v>62561</v>
      </c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</row>
    <row r="381" spans="1:20" x14ac:dyDescent="0.25">
      <c r="A3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1" t="str">
        <f>SUBSTITUTE(SUBSTITUTE(tabSource[[#This Row],[ID]],"&lt;",""),"&gt;","")</f>
        <v>62562</v>
      </c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</row>
    <row r="382" spans="1:20" x14ac:dyDescent="0.25">
      <c r="A3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2" t="str">
        <f>SUBSTITUTE(SUBSTITUTE(tabSource[[#This Row],[ID]],"&lt;",""),"&gt;","")</f>
        <v>62562-V</v>
      </c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</row>
    <row r="383" spans="1:20" x14ac:dyDescent="0.25">
      <c r="A3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3" t="str">
        <f>SUBSTITUTE(SUBSTITUTE(tabSource[[#This Row],[ID]],"&lt;",""),"&gt;","")</f>
        <v>62562-V4A</v>
      </c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</row>
    <row r="384" spans="1:20" x14ac:dyDescent="0.25">
      <c r="A3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4" t="str">
        <f>SUBSTITUTE(SUBSTITUTE(tabSource[[#This Row],[ID]],"&lt;",""),"&gt;","")</f>
        <v>62562-V4A-P</v>
      </c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</row>
    <row r="385" spans="1:20" x14ac:dyDescent="0.25">
      <c r="A3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5" t="str">
        <f>SUBSTITUTE(SUBSTITUTE(tabSource[[#This Row],[ID]],"&lt;",""),"&gt;","")</f>
        <v>62562-V4A-V</v>
      </c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</row>
    <row r="386" spans="1:20" x14ac:dyDescent="0.25">
      <c r="A3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6" t="str">
        <f>SUBSTITUTE(SUBSTITUTE(tabSource[[#This Row],[ID]],"&lt;",""),"&gt;","")</f>
        <v>62566</v>
      </c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</row>
    <row r="387" spans="1:20" x14ac:dyDescent="0.25">
      <c r="A3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7" t="str">
        <f>SUBSTITUTE(SUBSTITUTE(tabSource[[#This Row],[ID]],"&lt;",""),"&gt;","")</f>
        <v>62566-V</v>
      </c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</row>
    <row r="388" spans="1:20" x14ac:dyDescent="0.25">
      <c r="A3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8" t="str">
        <f>SUBSTITUTE(SUBSTITUTE(tabSource[[#This Row],[ID]],"&lt;",""),"&gt;","")</f>
        <v>62566-V4A</v>
      </c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</row>
    <row r="389" spans="1:20" x14ac:dyDescent="0.25">
      <c r="A3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89" t="str">
        <f>SUBSTITUTE(SUBSTITUTE(tabSource[[#This Row],[ID]],"&lt;",""),"&gt;","")</f>
        <v>62566-V4A-P</v>
      </c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</row>
    <row r="390" spans="1:20" x14ac:dyDescent="0.25">
      <c r="A3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0" t="str">
        <f>SUBSTITUTE(SUBSTITUTE(tabSource[[#This Row],[ID]],"&lt;",""),"&gt;","")</f>
        <v>62566-V4A-V</v>
      </c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</row>
    <row r="391" spans="1:20" x14ac:dyDescent="0.25">
      <c r="A3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1" t="str">
        <f>SUBSTITUTE(SUBSTITUTE(tabSource[[#This Row],[ID]],"&lt;",""),"&gt;","")</f>
        <v>62567</v>
      </c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</row>
    <row r="392" spans="1:20" x14ac:dyDescent="0.25">
      <c r="A3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2" t="str">
        <f>SUBSTITUTE(SUBSTITUTE(tabSource[[#This Row],[ID]],"&lt;",""),"&gt;","")</f>
        <v>62568</v>
      </c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</row>
    <row r="393" spans="1:20" x14ac:dyDescent="0.25">
      <c r="A3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3" t="str">
        <f>SUBSTITUTE(SUBSTITUTE(tabSource[[#This Row],[ID]],"&lt;",""),"&gt;","")</f>
        <v>62568-V</v>
      </c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</row>
    <row r="394" spans="1:20" x14ac:dyDescent="0.25">
      <c r="A3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4" t="str">
        <f>SUBSTITUTE(SUBSTITUTE(tabSource[[#This Row],[ID]],"&lt;",""),"&gt;","")</f>
        <v>62568-V4A</v>
      </c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</row>
    <row r="395" spans="1:20" x14ac:dyDescent="0.25">
      <c r="A3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5" t="str">
        <f>SUBSTITUTE(SUBSTITUTE(tabSource[[#This Row],[ID]],"&lt;",""),"&gt;","")</f>
        <v>62568-V4A-P</v>
      </c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</row>
    <row r="396" spans="1:20" x14ac:dyDescent="0.25">
      <c r="A3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6" t="str">
        <f>SUBSTITUTE(SUBSTITUTE(tabSource[[#This Row],[ID]],"&lt;",""),"&gt;","")</f>
        <v>62568-V4A-V</v>
      </c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</row>
    <row r="397" spans="1:20" x14ac:dyDescent="0.25">
      <c r="A3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7" t="str">
        <f>SUBSTITUTE(SUBSTITUTE(tabSource[[#This Row],[ID]],"&lt;",""),"&gt;","")</f>
        <v>62569</v>
      </c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</row>
    <row r="398" spans="1:20" x14ac:dyDescent="0.25">
      <c r="A3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8" t="str">
        <f>SUBSTITUTE(SUBSTITUTE(tabSource[[#This Row],[ID]],"&lt;",""),"&gt;","")</f>
        <v>62569-V</v>
      </c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</row>
    <row r="399" spans="1:20" x14ac:dyDescent="0.25">
      <c r="A3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3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399" t="str">
        <f>SUBSTITUTE(SUBSTITUTE(tabSource[[#This Row],[ID]],"&lt;",""),"&gt;","")</f>
        <v>62570</v>
      </c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</row>
    <row r="400" spans="1:20" x14ac:dyDescent="0.25">
      <c r="A4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0" t="str">
        <f>SUBSTITUTE(SUBSTITUTE(tabSource[[#This Row],[ID]],"&lt;",""),"&gt;","")</f>
        <v>62570-V</v>
      </c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</row>
    <row r="401" spans="1:20" x14ac:dyDescent="0.25">
      <c r="A4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1" t="str">
        <f>SUBSTITUTE(SUBSTITUTE(tabSource[[#This Row],[ID]],"&lt;",""),"&gt;","")</f>
        <v>62570-V4A</v>
      </c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</row>
    <row r="402" spans="1:20" x14ac:dyDescent="0.25">
      <c r="A4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2" t="str">
        <f>SUBSTITUTE(SUBSTITUTE(tabSource[[#This Row],[ID]],"&lt;",""),"&gt;","")</f>
        <v>62570-V4A-P</v>
      </c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</row>
    <row r="403" spans="1:20" x14ac:dyDescent="0.25">
      <c r="A4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3" t="str">
        <f>SUBSTITUTE(SUBSTITUTE(tabSource[[#This Row],[ID]],"&lt;",""),"&gt;","")</f>
        <v>62570-V-V4A</v>
      </c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</row>
    <row r="404" spans="1:20" x14ac:dyDescent="0.25">
      <c r="A4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4" t="str">
        <f>SUBSTITUTE(SUBSTITUTE(tabSource[[#This Row],[ID]],"&lt;",""),"&gt;","")</f>
        <v>62570-V-V4A-P</v>
      </c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</row>
    <row r="405" spans="1:20" x14ac:dyDescent="0.25">
      <c r="A4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5" t="str">
        <f>SUBSTITUTE(SUBSTITUTE(tabSource[[#This Row],[ID]],"&lt;",""),"&gt;","")</f>
        <v>62571</v>
      </c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</row>
    <row r="406" spans="1:20" x14ac:dyDescent="0.25">
      <c r="A4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6" t="str">
        <f>SUBSTITUTE(SUBSTITUTE(tabSource[[#This Row],[ID]],"&lt;",""),"&gt;","")</f>
        <v>62571-V</v>
      </c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</row>
    <row r="407" spans="1:20" x14ac:dyDescent="0.25">
      <c r="A4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7" t="str">
        <f>SUBSTITUTE(SUBSTITUTE(tabSource[[#This Row],[ID]],"&lt;",""),"&gt;","")</f>
        <v>62573</v>
      </c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</row>
    <row r="408" spans="1:20" x14ac:dyDescent="0.25">
      <c r="A4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8" t="str">
        <f>SUBSTITUTE(SUBSTITUTE(tabSource[[#This Row],[ID]],"&lt;",""),"&gt;","")</f>
        <v>62573-33</v>
      </c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</row>
    <row r="409" spans="1:20" x14ac:dyDescent="0.25">
      <c r="A4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09" t="str">
        <f>SUBSTITUTE(SUBSTITUTE(tabSource[[#This Row],[ID]],"&lt;",""),"&gt;","")</f>
        <v>62574</v>
      </c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</row>
    <row r="410" spans="1:20" x14ac:dyDescent="0.25">
      <c r="A4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0" t="str">
        <f>SUBSTITUTE(SUBSTITUTE(tabSource[[#This Row],[ID]],"&lt;",""),"&gt;","")</f>
        <v>62574-33</v>
      </c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</row>
    <row r="411" spans="1:20" x14ac:dyDescent="0.25">
      <c r="A4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1" t="str">
        <f>SUBSTITUTE(SUBSTITUTE(tabSource[[#This Row],[ID]],"&lt;",""),"&gt;","")</f>
        <v>62577</v>
      </c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</row>
    <row r="412" spans="1:20" x14ac:dyDescent="0.25">
      <c r="A4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2" t="str">
        <f>SUBSTITUTE(SUBSTITUTE(tabSource[[#This Row],[ID]],"&lt;",""),"&gt;","")</f>
        <v>62577-33</v>
      </c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</row>
    <row r="413" spans="1:20" x14ac:dyDescent="0.25">
      <c r="A4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3" t="str">
        <f>SUBSTITUTE(SUBSTITUTE(tabSource[[#This Row],[ID]],"&lt;",""),"&gt;","")</f>
        <v>62577-33-V4A</v>
      </c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</row>
    <row r="414" spans="1:20" x14ac:dyDescent="0.25">
      <c r="A4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4" t="str">
        <f>SUBSTITUTE(SUBSTITUTE(tabSource[[#This Row],[ID]],"&lt;",""),"&gt;","")</f>
        <v>62577-33-V4A-P</v>
      </c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</row>
    <row r="415" spans="1:20" x14ac:dyDescent="0.25">
      <c r="A4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5" t="str">
        <f>SUBSTITUTE(SUBSTITUTE(tabSource[[#This Row],[ID]],"&lt;",""),"&gt;","")</f>
        <v>62577-V4A</v>
      </c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</row>
    <row r="416" spans="1:20" x14ac:dyDescent="0.25">
      <c r="A4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6" t="str">
        <f>SUBSTITUTE(SUBSTITUTE(tabSource[[#This Row],[ID]],"&lt;",""),"&gt;","")</f>
        <v>62577-V4A-P</v>
      </c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</row>
    <row r="417" spans="1:20" x14ac:dyDescent="0.25">
      <c r="A4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7" t="str">
        <f>SUBSTITUTE(SUBSTITUTE(tabSource[[#This Row],[ID]],"&lt;",""),"&gt;","")</f>
        <v>62579</v>
      </c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</row>
    <row r="418" spans="1:20" x14ac:dyDescent="0.25">
      <c r="A4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8" t="str">
        <f>SUBSTITUTE(SUBSTITUTE(tabSource[[#This Row],[ID]],"&lt;",""),"&gt;","")</f>
        <v>62580</v>
      </c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</row>
    <row r="419" spans="1:20" x14ac:dyDescent="0.25">
      <c r="A4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19" t="str">
        <f>SUBSTITUTE(SUBSTITUTE(tabSource[[#This Row],[ID]],"&lt;",""),"&gt;","")</f>
        <v>62580-V4A</v>
      </c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</row>
    <row r="420" spans="1:20" x14ac:dyDescent="0.25">
      <c r="A4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0" t="str">
        <f>SUBSTITUTE(SUBSTITUTE(tabSource[[#This Row],[ID]],"&lt;",""),"&gt;","")</f>
        <v>62580-V4A-P</v>
      </c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</row>
    <row r="421" spans="1:20" x14ac:dyDescent="0.25">
      <c r="A4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1" t="str">
        <f>SUBSTITUTE(SUBSTITUTE(tabSource[[#This Row],[ID]],"&lt;",""),"&gt;","")</f>
        <v>62581</v>
      </c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</row>
    <row r="422" spans="1:20" x14ac:dyDescent="0.25">
      <c r="A4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2" t="str">
        <f>SUBSTITUTE(SUBSTITUTE(tabSource[[#This Row],[ID]],"&lt;",""),"&gt;","")</f>
        <v>62582</v>
      </c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</row>
    <row r="423" spans="1:20" x14ac:dyDescent="0.25">
      <c r="A4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3" t="str">
        <f>SUBSTITUTE(SUBSTITUTE(tabSource[[#This Row],[ID]],"&lt;",""),"&gt;","")</f>
        <v>62583</v>
      </c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</row>
    <row r="424" spans="1:20" x14ac:dyDescent="0.25">
      <c r="A4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4" t="str">
        <f>SUBSTITUTE(SUBSTITUTE(tabSource[[#This Row],[ID]],"&lt;",""),"&gt;","")</f>
        <v>62583-33</v>
      </c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</row>
    <row r="425" spans="1:20" x14ac:dyDescent="0.25">
      <c r="A4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5" t="str">
        <f>SUBSTITUTE(SUBSTITUTE(tabSource[[#This Row],[ID]],"&lt;",""),"&gt;","")</f>
        <v>62584</v>
      </c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</row>
    <row r="426" spans="1:20" x14ac:dyDescent="0.25">
      <c r="A4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6" t="str">
        <f>SUBSTITUTE(SUBSTITUTE(tabSource[[#This Row],[ID]],"&lt;",""),"&gt;","")</f>
        <v>62584-33</v>
      </c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</row>
    <row r="427" spans="1:20" x14ac:dyDescent="0.25">
      <c r="A4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7" t="str">
        <f>SUBSTITUTE(SUBSTITUTE(tabSource[[#This Row],[ID]],"&lt;",""),"&gt;","")</f>
        <v>62585</v>
      </c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</row>
    <row r="428" spans="1:20" x14ac:dyDescent="0.25">
      <c r="A4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8" t="str">
        <f>SUBSTITUTE(SUBSTITUTE(tabSource[[#This Row],[ID]],"&lt;",""),"&gt;","")</f>
        <v>62586</v>
      </c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</row>
    <row r="429" spans="1:20" x14ac:dyDescent="0.25">
      <c r="A4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29" t="str">
        <f>SUBSTITUTE(SUBSTITUTE(tabSource[[#This Row],[ID]],"&lt;",""),"&gt;","")</f>
        <v>62587</v>
      </c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</row>
    <row r="430" spans="1:20" x14ac:dyDescent="0.25">
      <c r="A4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0" t="str">
        <f>SUBSTITUTE(SUBSTITUTE(tabSource[[#This Row],[ID]],"&lt;",""),"&gt;","")</f>
        <v>62588</v>
      </c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</row>
    <row r="431" spans="1:20" x14ac:dyDescent="0.25">
      <c r="A4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1" t="str">
        <f>SUBSTITUTE(SUBSTITUTE(tabSource[[#This Row],[ID]],"&lt;",""),"&gt;","")</f>
        <v>62589</v>
      </c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</row>
    <row r="432" spans="1:20" x14ac:dyDescent="0.25">
      <c r="A4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2" t="str">
        <f>SUBSTITUTE(SUBSTITUTE(tabSource[[#This Row],[ID]],"&lt;",""),"&gt;","")</f>
        <v>62590</v>
      </c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</row>
    <row r="433" spans="1:20" x14ac:dyDescent="0.25">
      <c r="A4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3" t="str">
        <f>SUBSTITUTE(SUBSTITUTE(tabSource[[#This Row],[ID]],"&lt;",""),"&gt;","")</f>
        <v>62590-V</v>
      </c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</row>
    <row r="434" spans="1:20" x14ac:dyDescent="0.25">
      <c r="A4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4" t="str">
        <f>SUBSTITUTE(SUBSTITUTE(tabSource[[#This Row],[ID]],"&lt;",""),"&gt;","")</f>
        <v>62590-V4A</v>
      </c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</row>
    <row r="435" spans="1:20" x14ac:dyDescent="0.25">
      <c r="A4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5" t="str">
        <f>SUBSTITUTE(SUBSTITUTE(tabSource[[#This Row],[ID]],"&lt;",""),"&gt;","")</f>
        <v>62590-V4A-P</v>
      </c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</row>
    <row r="436" spans="1:20" x14ac:dyDescent="0.25">
      <c r="A4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6" t="str">
        <f>SUBSTITUTE(SUBSTITUTE(tabSource[[#This Row],[ID]],"&lt;",""),"&gt;","")</f>
        <v>62590-V4A-P-V</v>
      </c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</row>
    <row r="437" spans="1:20" x14ac:dyDescent="0.25">
      <c r="A4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7" t="str">
        <f>SUBSTITUTE(SUBSTITUTE(tabSource[[#This Row],[ID]],"&lt;",""),"&gt;","")</f>
        <v>62590-V4A-V</v>
      </c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</row>
    <row r="438" spans="1:20" x14ac:dyDescent="0.25">
      <c r="A4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8" t="str">
        <f>SUBSTITUTE(SUBSTITUTE(tabSource[[#This Row],[ID]],"&lt;",""),"&gt;","")</f>
        <v>62593</v>
      </c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</row>
    <row r="439" spans="1:20" x14ac:dyDescent="0.25">
      <c r="A4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39" t="str">
        <f>SUBSTITUTE(SUBSTITUTE(tabSource[[#This Row],[ID]],"&lt;",""),"&gt;","")</f>
        <v>62593-V</v>
      </c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</row>
    <row r="440" spans="1:20" x14ac:dyDescent="0.25">
      <c r="A4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0" t="str">
        <f>SUBSTITUTE(SUBSTITUTE(tabSource[[#This Row],[ID]],"&lt;",""),"&gt;","")</f>
        <v>62599</v>
      </c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</row>
    <row r="441" spans="1:20" x14ac:dyDescent="0.25">
      <c r="A4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1" t="str">
        <f>SUBSTITUTE(SUBSTITUTE(tabSource[[#This Row],[ID]],"&lt;",""),"&gt;","")</f>
        <v>62599-33</v>
      </c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</row>
    <row r="442" spans="1:20" x14ac:dyDescent="0.25">
      <c r="A4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2" t="str">
        <f>SUBSTITUTE(SUBSTITUTE(tabSource[[#This Row],[ID]],"&lt;",""),"&gt;","")</f>
        <v>62601</v>
      </c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</row>
    <row r="443" spans="1:20" x14ac:dyDescent="0.25">
      <c r="A4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3" t="str">
        <f>SUBSTITUTE(SUBSTITUTE(tabSource[[#This Row],[ID]],"&lt;",""),"&gt;","")</f>
        <v>62603</v>
      </c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</row>
    <row r="444" spans="1:20" x14ac:dyDescent="0.25">
      <c r="A4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4" t="str">
        <f>SUBSTITUTE(SUBSTITUTE(tabSource[[#This Row],[ID]],"&lt;",""),"&gt;","")</f>
        <v>62604</v>
      </c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</row>
    <row r="445" spans="1:20" x14ac:dyDescent="0.25">
      <c r="A4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5" t="str">
        <f>SUBSTITUTE(SUBSTITUTE(tabSource[[#This Row],[ID]],"&lt;",""),"&gt;","")</f>
        <v>62604-3</v>
      </c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</row>
    <row r="446" spans="1:20" x14ac:dyDescent="0.25">
      <c r="A4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6" t="str">
        <f>SUBSTITUTE(SUBSTITUTE(tabSource[[#This Row],[ID]],"&lt;",""),"&gt;","")</f>
        <v>62604-V4A</v>
      </c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</row>
    <row r="447" spans="1:20" x14ac:dyDescent="0.25">
      <c r="A4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7" t="str">
        <f>SUBSTITUTE(SUBSTITUTE(tabSource[[#This Row],[ID]],"&lt;",""),"&gt;","")</f>
        <v>62604-V4A-P</v>
      </c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</row>
    <row r="448" spans="1:20" x14ac:dyDescent="0.25">
      <c r="A4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8" t="str">
        <f>SUBSTITUTE(SUBSTITUTE(tabSource[[#This Row],[ID]],"&lt;",""),"&gt;","")</f>
        <v>62605</v>
      </c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</row>
    <row r="449" spans="1:20" x14ac:dyDescent="0.25">
      <c r="A4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49" t="str">
        <f>SUBSTITUTE(SUBSTITUTE(tabSource[[#This Row],[ID]],"&lt;",""),"&gt;","")</f>
        <v>62605-V4A</v>
      </c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</row>
    <row r="450" spans="1:20" x14ac:dyDescent="0.25">
      <c r="A4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0" t="str">
        <f>SUBSTITUTE(SUBSTITUTE(tabSource[[#This Row],[ID]],"&lt;",""),"&gt;","")</f>
        <v>62605-V4A-P</v>
      </c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</row>
    <row r="451" spans="1:20" x14ac:dyDescent="0.25">
      <c r="A4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1" t="str">
        <f>SUBSTITUTE(SUBSTITUTE(tabSource[[#This Row],[ID]],"&lt;",""),"&gt;","")</f>
        <v>62606</v>
      </c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</row>
    <row r="452" spans="1:20" x14ac:dyDescent="0.25">
      <c r="A4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2" t="str">
        <f>SUBSTITUTE(SUBSTITUTE(tabSource[[#This Row],[ID]],"&lt;",""),"&gt;","")</f>
        <v>62607</v>
      </c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</row>
    <row r="453" spans="1:20" x14ac:dyDescent="0.25">
      <c r="A4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3" t="str">
        <f>SUBSTITUTE(SUBSTITUTE(tabSource[[#This Row],[ID]],"&lt;",""),"&gt;","")</f>
        <v>62608-V4A</v>
      </c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</row>
    <row r="454" spans="1:20" x14ac:dyDescent="0.25">
      <c r="A4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4" t="str">
        <f>SUBSTITUTE(SUBSTITUTE(tabSource[[#This Row],[ID]],"&lt;",""),"&gt;","")</f>
        <v>62608-V4A-P</v>
      </c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</row>
    <row r="455" spans="1:20" x14ac:dyDescent="0.25">
      <c r="A4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5" t="str">
        <f>SUBSTITUTE(SUBSTITUTE(tabSource[[#This Row],[ID]],"&lt;",""),"&gt;","")</f>
        <v>62612</v>
      </c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</row>
    <row r="456" spans="1:20" x14ac:dyDescent="0.25">
      <c r="A4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6" t="str">
        <f>SUBSTITUTE(SUBSTITUTE(tabSource[[#This Row],[ID]],"&lt;",""),"&gt;","")</f>
        <v>62612-V4A</v>
      </c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</row>
    <row r="457" spans="1:20" x14ac:dyDescent="0.25">
      <c r="A4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7" t="str">
        <f>SUBSTITUTE(SUBSTITUTE(tabSource[[#This Row],[ID]],"&lt;",""),"&gt;","")</f>
        <v>62612-V4A-P</v>
      </c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</row>
    <row r="458" spans="1:20" x14ac:dyDescent="0.25">
      <c r="A4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8" t="str">
        <f>SUBSTITUTE(SUBSTITUTE(tabSource[[#This Row],[ID]],"&lt;",""),"&gt;","")</f>
        <v>62614</v>
      </c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</row>
    <row r="459" spans="1:20" x14ac:dyDescent="0.25">
      <c r="A4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59" t="str">
        <f>SUBSTITUTE(SUBSTITUTE(tabSource[[#This Row],[ID]],"&lt;",""),"&gt;","")</f>
        <v>62614-V4A</v>
      </c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</row>
    <row r="460" spans="1:20" x14ac:dyDescent="0.25">
      <c r="A4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0" t="str">
        <f>SUBSTITUTE(SUBSTITUTE(tabSource[[#This Row],[ID]],"&lt;",""),"&gt;","")</f>
        <v>62614-V4A-P</v>
      </c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</row>
    <row r="461" spans="1:20" x14ac:dyDescent="0.25">
      <c r="A4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1" t="str">
        <f>SUBSTITUTE(SUBSTITUTE(tabSource[[#This Row],[ID]],"&lt;",""),"&gt;","")</f>
        <v>62619</v>
      </c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</row>
    <row r="462" spans="1:20" x14ac:dyDescent="0.25">
      <c r="A4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2" t="str">
        <f>SUBSTITUTE(SUBSTITUTE(tabSource[[#This Row],[ID]],"&lt;",""),"&gt;","")</f>
        <v>62619-V4A</v>
      </c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</row>
    <row r="463" spans="1:20" x14ac:dyDescent="0.25">
      <c r="A4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3" t="str">
        <f>SUBSTITUTE(SUBSTITUTE(tabSource[[#This Row],[ID]],"&lt;",""),"&gt;","")</f>
        <v>62619-V4A-P</v>
      </c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</row>
    <row r="464" spans="1:20" x14ac:dyDescent="0.25">
      <c r="A4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4" t="str">
        <f>SUBSTITUTE(SUBSTITUTE(tabSource[[#This Row],[ID]],"&lt;",""),"&gt;","")</f>
        <v>62631</v>
      </c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</row>
    <row r="465" spans="1:20" x14ac:dyDescent="0.25">
      <c r="A4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5" t="str">
        <f>SUBSTITUTE(SUBSTITUTE(tabSource[[#This Row],[ID]],"&lt;",""),"&gt;","")</f>
        <v>62632</v>
      </c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</row>
    <row r="466" spans="1:20" x14ac:dyDescent="0.25">
      <c r="A4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6" t="str">
        <f>SUBSTITUTE(SUBSTITUTE(tabSource[[#This Row],[ID]],"&lt;",""),"&gt;","")</f>
        <v>62633</v>
      </c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</row>
    <row r="467" spans="1:20" x14ac:dyDescent="0.25">
      <c r="A4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7" t="str">
        <f>SUBSTITUTE(SUBSTITUTE(tabSource[[#This Row],[ID]],"&lt;",""),"&gt;","")</f>
        <v>62634</v>
      </c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</row>
    <row r="468" spans="1:20" x14ac:dyDescent="0.25">
      <c r="A4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8" t="str">
        <f>SUBSTITUTE(SUBSTITUTE(tabSource[[#This Row],[ID]],"&lt;",""),"&gt;","")</f>
        <v>62635</v>
      </c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</row>
    <row r="469" spans="1:20" x14ac:dyDescent="0.25">
      <c r="A4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69" t="str">
        <f>SUBSTITUTE(SUBSTITUTE(tabSource[[#This Row],[ID]],"&lt;",""),"&gt;","")</f>
        <v>62636</v>
      </c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</row>
    <row r="470" spans="1:20" x14ac:dyDescent="0.25">
      <c r="A4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0" t="str">
        <f>SUBSTITUTE(SUBSTITUTE(tabSource[[#This Row],[ID]],"&lt;",""),"&gt;","")</f>
        <v>62661</v>
      </c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</row>
    <row r="471" spans="1:20" x14ac:dyDescent="0.25">
      <c r="A4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1" t="str">
        <f>SUBSTITUTE(SUBSTITUTE(tabSource[[#This Row],[ID]],"&lt;",""),"&gt;","")</f>
        <v>62664</v>
      </c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</row>
    <row r="472" spans="1:20" x14ac:dyDescent="0.25">
      <c r="A4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2" t="str">
        <f>SUBSTITUTE(SUBSTITUTE(tabSource[[#This Row],[ID]],"&lt;",""),"&gt;","")</f>
        <v>62664-V4A-V</v>
      </c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</row>
    <row r="473" spans="1:20" x14ac:dyDescent="0.25">
      <c r="A4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3" t="str">
        <f>SUBSTITUTE(SUBSTITUTE(tabSource[[#This Row],[ID]],"&lt;",""),"&gt;","")</f>
        <v>62665</v>
      </c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</row>
    <row r="474" spans="1:20" x14ac:dyDescent="0.25">
      <c r="A4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4" t="str">
        <f>SUBSTITUTE(SUBSTITUTE(tabSource[[#This Row],[ID]],"&lt;",""),"&gt;","")</f>
        <v>62670</v>
      </c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</row>
    <row r="475" spans="1:20" x14ac:dyDescent="0.25">
      <c r="A4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5" t="str">
        <f>SUBSTITUTE(SUBSTITUTE(tabSource[[#This Row],[ID]],"&lt;",""),"&gt;","")</f>
        <v>62670-V4A</v>
      </c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</row>
    <row r="476" spans="1:20" x14ac:dyDescent="0.25">
      <c r="A4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6" t="str">
        <f>SUBSTITUTE(SUBSTITUTE(tabSource[[#This Row],[ID]],"&lt;",""),"&gt;","")</f>
        <v>62670-V4A-P</v>
      </c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</row>
    <row r="477" spans="1:20" x14ac:dyDescent="0.25">
      <c r="A4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7" t="str">
        <f>SUBSTITUTE(SUBSTITUTE(tabSource[[#This Row],[ID]],"&lt;",""),"&gt;","")</f>
        <v>62677-V4A</v>
      </c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</row>
    <row r="478" spans="1:20" x14ac:dyDescent="0.25">
      <c r="A4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8" t="str">
        <f>SUBSTITUTE(SUBSTITUTE(tabSource[[#This Row],[ID]],"&lt;",""),"&gt;","")</f>
        <v>62684-V4A</v>
      </c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</row>
    <row r="479" spans="1:20" x14ac:dyDescent="0.25">
      <c r="A4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79" t="str">
        <f>SUBSTITUTE(SUBSTITUTE(tabSource[[#This Row],[ID]],"&lt;",""),"&gt;","")</f>
        <v>62685-V4A</v>
      </c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</row>
    <row r="480" spans="1:20" x14ac:dyDescent="0.25">
      <c r="A4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0" t="str">
        <f>SUBSTITUTE(SUBSTITUTE(tabSource[[#This Row],[ID]],"&lt;",""),"&gt;","")</f>
        <v>62686-V4A</v>
      </c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</row>
    <row r="481" spans="1:20" x14ac:dyDescent="0.25">
      <c r="A4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1" t="str">
        <f>SUBSTITUTE(SUBSTITUTE(tabSource[[#This Row],[ID]],"&lt;",""),"&gt;","")</f>
        <v>62687-V4A</v>
      </c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</row>
    <row r="482" spans="1:20" x14ac:dyDescent="0.25">
      <c r="A4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2" t="str">
        <f>SUBSTITUTE(SUBSTITUTE(tabSource[[#This Row],[ID]],"&lt;",""),"&gt;","")</f>
        <v>62688</v>
      </c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</row>
    <row r="483" spans="1:20" x14ac:dyDescent="0.25">
      <c r="A4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3" t="str">
        <f>SUBSTITUTE(SUBSTITUTE(tabSource[[#This Row],[ID]],"&lt;",""),"&gt;","")</f>
        <v>62688-V4A</v>
      </c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</row>
    <row r="484" spans="1:20" x14ac:dyDescent="0.25">
      <c r="A4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4" t="str">
        <f>SUBSTITUTE(SUBSTITUTE(tabSource[[#This Row],[ID]],"&lt;",""),"&gt;","")</f>
        <v>62688-V4A-P</v>
      </c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</row>
    <row r="485" spans="1:20" x14ac:dyDescent="0.25">
      <c r="A4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5" t="str">
        <f>SUBSTITUTE(SUBSTITUTE(tabSource[[#This Row],[ID]],"&lt;",""),"&gt;","")</f>
        <v>62689</v>
      </c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</row>
    <row r="486" spans="1:20" x14ac:dyDescent="0.25">
      <c r="A4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6" t="str">
        <f>SUBSTITUTE(SUBSTITUTE(tabSource[[#This Row],[ID]],"&lt;",""),"&gt;","")</f>
        <v>62689-V4A</v>
      </c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</row>
    <row r="487" spans="1:20" x14ac:dyDescent="0.25">
      <c r="A4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7" t="str">
        <f>SUBSTITUTE(SUBSTITUTE(tabSource[[#This Row],[ID]],"&lt;",""),"&gt;","")</f>
        <v>62690-V4A</v>
      </c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</row>
    <row r="488" spans="1:20" x14ac:dyDescent="0.25">
      <c r="A4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8" t="str">
        <f>SUBSTITUTE(SUBSTITUTE(tabSource[[#This Row],[ID]],"&lt;",""),"&gt;","")</f>
        <v>62691-V4A</v>
      </c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</row>
    <row r="489" spans="1:20" x14ac:dyDescent="0.25">
      <c r="A4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89" t="str">
        <f>SUBSTITUTE(SUBSTITUTE(tabSource[[#This Row],[ID]],"&lt;",""),"&gt;","")</f>
        <v>62692-V4A</v>
      </c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</row>
    <row r="490" spans="1:20" x14ac:dyDescent="0.25">
      <c r="A4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0" t="str">
        <f>SUBSTITUTE(SUBSTITUTE(tabSource[[#This Row],[ID]],"&lt;",""),"&gt;","")</f>
        <v>62693-V4A</v>
      </c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</row>
    <row r="491" spans="1:20" x14ac:dyDescent="0.25">
      <c r="A4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1" t="str">
        <f>SUBSTITUTE(SUBSTITUTE(tabSource[[#This Row],[ID]],"&lt;",""),"&gt;","")</f>
        <v>62694</v>
      </c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</row>
    <row r="492" spans="1:20" x14ac:dyDescent="0.25">
      <c r="A4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2" t="str">
        <f>SUBSTITUTE(SUBSTITUTE(tabSource[[#This Row],[ID]],"&lt;",""),"&gt;","")</f>
        <v>62694-V4A</v>
      </c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</row>
    <row r="493" spans="1:20" x14ac:dyDescent="0.25">
      <c r="A4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3" t="str">
        <f>SUBSTITUTE(SUBSTITUTE(tabSource[[#This Row],[ID]],"&lt;",""),"&gt;","")</f>
        <v>62694-V4A-P</v>
      </c>
      <c r="D493"/>
      <c r="E493"/>
      <c r="F493"/>
      <c r="G493"/>
      <c r="H493"/>
      <c r="I493"/>
      <c r="J493"/>
      <c r="K493"/>
      <c r="L493"/>
      <c r="M493"/>
      <c r="N493"/>
      <c r="O493"/>
      <c r="Q493"/>
      <c r="R493"/>
      <c r="S493"/>
      <c r="T493"/>
    </row>
    <row r="494" spans="1:20" x14ac:dyDescent="0.25">
      <c r="A4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4" t="str">
        <f>SUBSTITUTE(SUBSTITUTE(tabSource[[#This Row],[ID]],"&lt;",""),"&gt;","")</f>
        <v>62695</v>
      </c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</row>
    <row r="495" spans="1:20" x14ac:dyDescent="0.25">
      <c r="A4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5" t="str">
        <f>SUBSTITUTE(SUBSTITUTE(tabSource[[#This Row],[ID]],"&lt;",""),"&gt;","")</f>
        <v>62695-V4A</v>
      </c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</row>
    <row r="496" spans="1:20" x14ac:dyDescent="0.25">
      <c r="A4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6" t="str">
        <f>SUBSTITUTE(SUBSTITUTE(tabSource[[#This Row],[ID]],"&lt;",""),"&gt;","")</f>
        <v>62695-V4A-P</v>
      </c>
      <c r="D496"/>
      <c r="E496"/>
      <c r="F496"/>
      <c r="G496"/>
      <c r="H496"/>
      <c r="I496"/>
      <c r="J496"/>
      <c r="K496"/>
      <c r="L496"/>
      <c r="M496"/>
      <c r="N496"/>
      <c r="O496"/>
      <c r="Q496"/>
      <c r="R496"/>
      <c r="S496"/>
      <c r="T496"/>
    </row>
    <row r="497" spans="1:20" x14ac:dyDescent="0.25">
      <c r="A4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7" t="str">
        <f>SUBSTITUTE(SUBSTITUTE(tabSource[[#This Row],[ID]],"&lt;",""),"&gt;","")</f>
        <v>62696</v>
      </c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</row>
    <row r="498" spans="1:20" x14ac:dyDescent="0.25">
      <c r="A4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8" t="str">
        <f>SUBSTITUTE(SUBSTITUTE(tabSource[[#This Row],[ID]],"&lt;",""),"&gt;","")</f>
        <v>62696-V4A</v>
      </c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</row>
    <row r="499" spans="1:20" x14ac:dyDescent="0.25">
      <c r="A4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4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499" t="str">
        <f>SUBSTITUTE(SUBSTITUTE(tabSource[[#This Row],[ID]],"&lt;",""),"&gt;","")</f>
        <v>62696-V4A-P</v>
      </c>
      <c r="D499"/>
      <c r="E499"/>
      <c r="F499"/>
      <c r="G499"/>
      <c r="H499"/>
      <c r="I499"/>
      <c r="J499"/>
      <c r="K499"/>
      <c r="L499"/>
      <c r="M499"/>
      <c r="N499"/>
      <c r="O499"/>
      <c r="Q499"/>
      <c r="R499"/>
      <c r="S499"/>
      <c r="T499"/>
    </row>
    <row r="500" spans="1:20" x14ac:dyDescent="0.25">
      <c r="A5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0" t="str">
        <f>SUBSTITUTE(SUBSTITUTE(tabSource[[#This Row],[ID]],"&lt;",""),"&gt;","")</f>
        <v>62697</v>
      </c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</row>
    <row r="501" spans="1:20" x14ac:dyDescent="0.25">
      <c r="A5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1" t="str">
        <f>SUBSTITUTE(SUBSTITUTE(tabSource[[#This Row],[ID]],"&lt;",""),"&gt;","")</f>
        <v>62697-V4A</v>
      </c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</row>
    <row r="502" spans="1:20" x14ac:dyDescent="0.25">
      <c r="A5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2" t="str">
        <f>SUBSTITUTE(SUBSTITUTE(tabSource[[#This Row],[ID]],"&lt;",""),"&gt;","")</f>
        <v>62697-V4A-P</v>
      </c>
      <c r="D502"/>
      <c r="E502"/>
      <c r="F502"/>
      <c r="G502"/>
      <c r="H502"/>
      <c r="I502"/>
      <c r="J502"/>
      <c r="K502"/>
      <c r="L502"/>
      <c r="M502"/>
      <c r="N502"/>
      <c r="O502"/>
      <c r="Q502"/>
      <c r="R502"/>
      <c r="S502"/>
      <c r="T502"/>
    </row>
    <row r="503" spans="1:20" x14ac:dyDescent="0.25">
      <c r="A5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3" t="str">
        <f>SUBSTITUTE(SUBSTITUTE(tabSource[[#This Row],[ID]],"&lt;",""),"&gt;","")</f>
        <v>63011</v>
      </c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</row>
    <row r="504" spans="1:20" x14ac:dyDescent="0.25">
      <c r="A5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4" t="str">
        <f>SUBSTITUTE(SUBSTITUTE(tabSource[[#This Row],[ID]],"&lt;",""),"&gt;","")</f>
        <v>63011-V</v>
      </c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</row>
    <row r="505" spans="1:20" x14ac:dyDescent="0.25">
      <c r="A5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5" t="str">
        <f>SUBSTITUTE(SUBSTITUTE(tabSource[[#This Row],[ID]],"&lt;",""),"&gt;","")</f>
        <v>63011-V4A</v>
      </c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</row>
    <row r="506" spans="1:20" x14ac:dyDescent="0.25">
      <c r="A5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6" t="str">
        <f>SUBSTITUTE(SUBSTITUTE(tabSource[[#This Row],[ID]],"&lt;",""),"&gt;","")</f>
        <v>63011-V4A-P</v>
      </c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</row>
    <row r="507" spans="1:20" x14ac:dyDescent="0.25">
      <c r="A5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7" t="str">
        <f>SUBSTITUTE(SUBSTITUTE(tabSource[[#This Row],[ID]],"&lt;",""),"&gt;","")</f>
        <v>63011-V4A-P-V</v>
      </c>
      <c r="D507"/>
      <c r="E507"/>
      <c r="F507"/>
      <c r="G507"/>
      <c r="I507"/>
      <c r="J507"/>
      <c r="K507"/>
      <c r="L507"/>
      <c r="M507"/>
      <c r="P507"/>
      <c r="Q507"/>
      <c r="R507"/>
      <c r="S507"/>
      <c r="T507"/>
    </row>
    <row r="508" spans="1:20" x14ac:dyDescent="0.25">
      <c r="A5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8" t="str">
        <f>SUBSTITUTE(SUBSTITUTE(tabSource[[#This Row],[ID]],"&lt;",""),"&gt;","")</f>
        <v>63011-V4A-V</v>
      </c>
      <c r="D508"/>
      <c r="E508"/>
      <c r="F508"/>
      <c r="G508"/>
      <c r="I508"/>
      <c r="J508"/>
      <c r="K508"/>
      <c r="L508"/>
      <c r="M508"/>
      <c r="P508"/>
      <c r="Q508"/>
      <c r="R508"/>
      <c r="S508"/>
      <c r="T508"/>
    </row>
    <row r="509" spans="1:20" x14ac:dyDescent="0.25">
      <c r="A5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09" t="str">
        <f>SUBSTITUTE(SUBSTITUTE(tabSource[[#This Row],[ID]],"&lt;",""),"&gt;","")</f>
        <v>63012</v>
      </c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</row>
    <row r="510" spans="1:20" x14ac:dyDescent="0.25">
      <c r="A5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0" t="str">
        <f>SUBSTITUTE(SUBSTITUTE(tabSource[[#This Row],[ID]],"&lt;",""),"&gt;","")</f>
        <v>63012-V</v>
      </c>
      <c r="D510"/>
      <c r="E510"/>
      <c r="F510"/>
      <c r="G510"/>
      <c r="I510"/>
      <c r="J510"/>
      <c r="K510"/>
      <c r="L510"/>
      <c r="M510"/>
      <c r="P510"/>
      <c r="Q510"/>
      <c r="R510"/>
      <c r="S510"/>
      <c r="T510"/>
    </row>
    <row r="511" spans="1:20" x14ac:dyDescent="0.25">
      <c r="A5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1" t="str">
        <f>SUBSTITUTE(SUBSTITUTE(tabSource[[#This Row],[ID]],"&lt;",""),"&gt;","")</f>
        <v>63014</v>
      </c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</row>
    <row r="512" spans="1:20" x14ac:dyDescent="0.25">
      <c r="A5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2" t="str">
        <f>SUBSTITUTE(SUBSTITUTE(tabSource[[#This Row],[ID]],"&lt;",""),"&gt;","")</f>
        <v>63015</v>
      </c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</row>
    <row r="513" spans="1:20" x14ac:dyDescent="0.25">
      <c r="A5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3" t="str">
        <f>SUBSTITUTE(SUBSTITUTE(tabSource[[#This Row],[ID]],"&lt;",""),"&gt;","")</f>
        <v>63015-3</v>
      </c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</row>
    <row r="514" spans="1:20" x14ac:dyDescent="0.25">
      <c r="A5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4" t="str">
        <f>SUBSTITUTE(SUBSTITUTE(tabSource[[#This Row],[ID]],"&lt;",""),"&gt;","")</f>
        <v>63015-3-V</v>
      </c>
      <c r="D514"/>
      <c r="E514"/>
      <c r="F514"/>
      <c r="G514"/>
      <c r="I514"/>
      <c r="J514"/>
      <c r="K514"/>
      <c r="L514"/>
      <c r="M514"/>
      <c r="P514"/>
      <c r="Q514"/>
      <c r="R514"/>
      <c r="S514"/>
      <c r="T514"/>
    </row>
    <row r="515" spans="1:20" x14ac:dyDescent="0.25">
      <c r="A5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5" t="str">
        <f>SUBSTITUTE(SUBSTITUTE(tabSource[[#This Row],[ID]],"&lt;",""),"&gt;","")</f>
        <v>63015-V</v>
      </c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</row>
    <row r="516" spans="1:20" x14ac:dyDescent="0.25">
      <c r="A5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6" t="str">
        <f>SUBSTITUTE(SUBSTITUTE(tabSource[[#This Row],[ID]],"&lt;",""),"&gt;","")</f>
        <v>63015-V4A</v>
      </c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</row>
    <row r="517" spans="1:20" x14ac:dyDescent="0.25">
      <c r="A5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7" t="str">
        <f>SUBSTITUTE(SUBSTITUTE(tabSource[[#This Row],[ID]],"&lt;",""),"&gt;","")</f>
        <v>63015-V4A-P</v>
      </c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</row>
    <row r="518" spans="1:20" x14ac:dyDescent="0.25">
      <c r="A5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8" t="str">
        <f>SUBSTITUTE(SUBSTITUTE(tabSource[[#This Row],[ID]],"&lt;",""),"&gt;","")</f>
        <v>63015-V4A-P-V</v>
      </c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</row>
    <row r="519" spans="1:20" x14ac:dyDescent="0.25">
      <c r="A5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19" t="str">
        <f>SUBSTITUTE(SUBSTITUTE(tabSource[[#This Row],[ID]],"&lt;",""),"&gt;","")</f>
        <v>63015-V4A-V</v>
      </c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</row>
    <row r="520" spans="1:20" x14ac:dyDescent="0.25">
      <c r="A5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0" t="str">
        <f>SUBSTITUTE(SUBSTITUTE(tabSource[[#This Row],[ID]],"&lt;",""),"&gt;","")</f>
        <v>63016</v>
      </c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</row>
    <row r="521" spans="1:20" x14ac:dyDescent="0.25">
      <c r="A5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1" t="str">
        <f>SUBSTITUTE(SUBSTITUTE(tabSource[[#This Row],[ID]],"&lt;",""),"&gt;","")</f>
        <v>63016-V</v>
      </c>
      <c r="D521"/>
      <c r="E521"/>
      <c r="F521"/>
      <c r="G521"/>
      <c r="I521"/>
      <c r="J521"/>
      <c r="K521"/>
      <c r="L521"/>
      <c r="M521"/>
      <c r="P521"/>
      <c r="Q521"/>
      <c r="R521"/>
      <c r="S521"/>
      <c r="T521"/>
    </row>
    <row r="522" spans="1:20" x14ac:dyDescent="0.25">
      <c r="A5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2" t="str">
        <f>SUBSTITUTE(SUBSTITUTE(tabSource[[#This Row],[ID]],"&lt;",""),"&gt;","")</f>
        <v>63017</v>
      </c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</row>
    <row r="523" spans="1:20" x14ac:dyDescent="0.25">
      <c r="A5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3" t="str">
        <f>SUBSTITUTE(SUBSTITUTE(tabSource[[#This Row],[ID]],"&lt;",""),"&gt;","")</f>
        <v>63017-V</v>
      </c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</row>
    <row r="524" spans="1:20" x14ac:dyDescent="0.25">
      <c r="A5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4" t="str">
        <f>SUBSTITUTE(SUBSTITUTE(tabSource[[#This Row],[ID]],"&lt;",""),"&gt;","")</f>
        <v>63017-V4A</v>
      </c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</row>
    <row r="525" spans="1:20" x14ac:dyDescent="0.25">
      <c r="A5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5" t="str">
        <f>SUBSTITUTE(SUBSTITUTE(tabSource[[#This Row],[ID]],"&lt;",""),"&gt;","")</f>
        <v>63017-V4A-P</v>
      </c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</row>
    <row r="526" spans="1:20" x14ac:dyDescent="0.25">
      <c r="A5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6" t="str">
        <f>SUBSTITUTE(SUBSTITUTE(tabSource[[#This Row],[ID]],"&lt;",""),"&gt;","")</f>
        <v>63017-V4A-P-V</v>
      </c>
      <c r="D526"/>
      <c r="E526"/>
      <c r="F526"/>
      <c r="G526"/>
      <c r="I526"/>
      <c r="J526"/>
      <c r="K526"/>
      <c r="L526"/>
      <c r="M526"/>
      <c r="P526"/>
      <c r="Q526"/>
      <c r="R526"/>
      <c r="S526"/>
      <c r="T526"/>
    </row>
    <row r="527" spans="1:20" x14ac:dyDescent="0.25">
      <c r="A5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7" t="str">
        <f>SUBSTITUTE(SUBSTITUTE(tabSource[[#This Row],[ID]],"&lt;",""),"&gt;","")</f>
        <v>63017-V4A-V</v>
      </c>
      <c r="D527"/>
      <c r="E527"/>
      <c r="F527"/>
      <c r="G527"/>
      <c r="I527"/>
      <c r="J527"/>
      <c r="K527"/>
      <c r="L527"/>
      <c r="M527"/>
      <c r="P527"/>
      <c r="Q527"/>
      <c r="R527"/>
      <c r="S527"/>
      <c r="T527"/>
    </row>
    <row r="528" spans="1:20" x14ac:dyDescent="0.25">
      <c r="A5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8" t="str">
        <f>SUBSTITUTE(SUBSTITUTE(tabSource[[#This Row],[ID]],"&lt;",""),"&gt;","")</f>
        <v>63018</v>
      </c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</row>
    <row r="529" spans="1:20" x14ac:dyDescent="0.25">
      <c r="A5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29" t="str">
        <f>SUBSTITUTE(SUBSTITUTE(tabSource[[#This Row],[ID]],"&lt;",""),"&gt;","")</f>
        <v>63018-V</v>
      </c>
      <c r="D529"/>
      <c r="E529"/>
      <c r="F529"/>
      <c r="G529"/>
      <c r="I529"/>
      <c r="J529"/>
      <c r="K529"/>
      <c r="L529"/>
      <c r="M529"/>
      <c r="P529"/>
      <c r="Q529"/>
      <c r="R529"/>
      <c r="S529"/>
      <c r="T529"/>
    </row>
    <row r="530" spans="1:20" x14ac:dyDescent="0.25">
      <c r="A5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0" t="str">
        <f>SUBSTITUTE(SUBSTITUTE(tabSource[[#This Row],[ID]],"&lt;",""),"&gt;","")</f>
        <v>63021</v>
      </c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</row>
    <row r="531" spans="1:20" x14ac:dyDescent="0.25">
      <c r="A5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1" t="str">
        <f>SUBSTITUTE(SUBSTITUTE(tabSource[[#This Row],[ID]],"&lt;",""),"&gt;","")</f>
        <v>63021-V4A</v>
      </c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</row>
    <row r="532" spans="1:20" x14ac:dyDescent="0.25">
      <c r="A5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2" t="str">
        <f>SUBSTITUTE(SUBSTITUTE(tabSource[[#This Row],[ID]],"&lt;",""),"&gt;","")</f>
        <v>63021-V4A-P</v>
      </c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</row>
    <row r="533" spans="1:20" x14ac:dyDescent="0.25">
      <c r="A5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3" t="str">
        <f>SUBSTITUTE(SUBSTITUTE(tabSource[[#This Row],[ID]],"&lt;",""),"&gt;","")</f>
        <v>63022</v>
      </c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</row>
    <row r="534" spans="1:20" x14ac:dyDescent="0.25">
      <c r="A5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4" t="str">
        <f>SUBSTITUTE(SUBSTITUTE(tabSource[[#This Row],[ID]],"&lt;",""),"&gt;","")</f>
        <v>63024</v>
      </c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</row>
    <row r="535" spans="1:20" x14ac:dyDescent="0.25">
      <c r="A5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5" t="str">
        <f>SUBSTITUTE(SUBSTITUTE(tabSource[[#This Row],[ID]],"&lt;",""),"&gt;","")</f>
        <v>63025</v>
      </c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</row>
    <row r="536" spans="1:20" x14ac:dyDescent="0.25">
      <c r="A5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6" t="str">
        <f>SUBSTITUTE(SUBSTITUTE(tabSource[[#This Row],[ID]],"&lt;",""),"&gt;","")</f>
        <v>63025-3</v>
      </c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</row>
    <row r="537" spans="1:20" x14ac:dyDescent="0.25">
      <c r="A5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7" t="str">
        <f>SUBSTITUTE(SUBSTITUTE(tabSource[[#This Row],[ID]],"&lt;",""),"&gt;","")</f>
        <v>63025-V4A</v>
      </c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</row>
    <row r="538" spans="1:20" x14ac:dyDescent="0.25">
      <c r="A5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8" t="str">
        <f>SUBSTITUTE(SUBSTITUTE(tabSource[[#This Row],[ID]],"&lt;",""),"&gt;","")</f>
        <v>63025-V4A-P</v>
      </c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</row>
    <row r="539" spans="1:20" x14ac:dyDescent="0.25">
      <c r="A5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39" t="str">
        <f>SUBSTITUTE(SUBSTITUTE(tabSource[[#This Row],[ID]],"&lt;",""),"&gt;","")</f>
        <v>63026</v>
      </c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</row>
    <row r="540" spans="1:20" x14ac:dyDescent="0.25">
      <c r="A5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0" t="str">
        <f>SUBSTITUTE(SUBSTITUTE(tabSource[[#This Row],[ID]],"&lt;",""),"&gt;","")</f>
        <v>63027</v>
      </c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</row>
    <row r="541" spans="1:20" x14ac:dyDescent="0.25">
      <c r="A5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1" t="str">
        <f>SUBSTITUTE(SUBSTITUTE(tabSource[[#This Row],[ID]],"&lt;",""),"&gt;","")</f>
        <v>63027-V4A</v>
      </c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</row>
    <row r="542" spans="1:20" x14ac:dyDescent="0.25">
      <c r="A5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2" t="str">
        <f>SUBSTITUTE(SUBSTITUTE(tabSource[[#This Row],[ID]],"&lt;",""),"&gt;","")</f>
        <v>63027-V4A-P</v>
      </c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</row>
    <row r="543" spans="1:20" x14ac:dyDescent="0.25">
      <c r="A5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3" t="str">
        <f>SUBSTITUTE(SUBSTITUTE(tabSource[[#This Row],[ID]],"&lt;",""),"&gt;","")</f>
        <v>63028</v>
      </c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</row>
    <row r="544" spans="1:20" x14ac:dyDescent="0.25">
      <c r="A5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4" t="str">
        <f>SUBSTITUTE(SUBSTITUTE(tabSource[[#This Row],[ID]],"&lt;",""),"&gt;","")</f>
        <v>63031</v>
      </c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</row>
    <row r="545" spans="1:20" x14ac:dyDescent="0.25">
      <c r="A5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5" t="str">
        <f>SUBSTITUTE(SUBSTITUTE(tabSource[[#This Row],[ID]],"&lt;",""),"&gt;","")</f>
        <v>63031-V</v>
      </c>
      <c r="D545"/>
      <c r="E545"/>
      <c r="F545"/>
      <c r="G545"/>
      <c r="I545"/>
      <c r="J545"/>
      <c r="K545"/>
      <c r="L545"/>
      <c r="M545"/>
      <c r="P545"/>
      <c r="Q545"/>
      <c r="R545"/>
      <c r="S545"/>
      <c r="T545"/>
    </row>
    <row r="546" spans="1:20" x14ac:dyDescent="0.25">
      <c r="A5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6" t="str">
        <f>SUBSTITUTE(SUBSTITUTE(tabSource[[#This Row],[ID]],"&lt;",""),"&gt;","")</f>
        <v>63031-V4A</v>
      </c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</row>
    <row r="547" spans="1:20" x14ac:dyDescent="0.25">
      <c r="A5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7" t="str">
        <f>SUBSTITUTE(SUBSTITUTE(tabSource[[#This Row],[ID]],"&lt;",""),"&gt;","")</f>
        <v>63031-V4A-P</v>
      </c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</row>
    <row r="548" spans="1:20" x14ac:dyDescent="0.25">
      <c r="A5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8" t="str">
        <f>SUBSTITUTE(SUBSTITUTE(tabSource[[#This Row],[ID]],"&lt;",""),"&gt;","")</f>
        <v>63031-V4A-P-V</v>
      </c>
      <c r="D548"/>
      <c r="E548"/>
      <c r="F548"/>
      <c r="G548"/>
      <c r="I548"/>
      <c r="J548"/>
      <c r="K548"/>
      <c r="L548"/>
      <c r="M548"/>
      <c r="P548"/>
      <c r="Q548"/>
      <c r="R548"/>
      <c r="S548"/>
      <c r="T548"/>
    </row>
    <row r="549" spans="1:20" x14ac:dyDescent="0.25">
      <c r="A5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49" t="str">
        <f>SUBSTITUTE(SUBSTITUTE(tabSource[[#This Row],[ID]],"&lt;",""),"&gt;","")</f>
        <v>63031-V4A-V</v>
      </c>
      <c r="D549"/>
      <c r="E549"/>
      <c r="F549"/>
      <c r="G549"/>
      <c r="I549"/>
      <c r="J549"/>
      <c r="K549"/>
      <c r="L549"/>
      <c r="M549"/>
      <c r="P549"/>
      <c r="Q549"/>
      <c r="R549"/>
      <c r="S549"/>
      <c r="T549"/>
    </row>
    <row r="550" spans="1:20" x14ac:dyDescent="0.25">
      <c r="A5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0" t="str">
        <f>SUBSTITUTE(SUBSTITUTE(tabSource[[#This Row],[ID]],"&lt;",""),"&gt;","")</f>
        <v>63032</v>
      </c>
      <c r="D550"/>
      <c r="E550"/>
      <c r="F550"/>
      <c r="G550"/>
      <c r="I550"/>
      <c r="J550"/>
      <c r="K550"/>
      <c r="L550"/>
      <c r="M550"/>
      <c r="P550"/>
      <c r="Q550"/>
      <c r="R550"/>
      <c r="S550"/>
      <c r="T550"/>
    </row>
    <row r="551" spans="1:20" x14ac:dyDescent="0.25">
      <c r="A5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1" t="str">
        <f>SUBSTITUTE(SUBSTITUTE(tabSource[[#This Row],[ID]],"&lt;",""),"&gt;","")</f>
        <v>63033</v>
      </c>
      <c r="D551"/>
      <c r="E551"/>
      <c r="F551"/>
      <c r="G551"/>
      <c r="I551"/>
      <c r="J551"/>
      <c r="K551"/>
      <c r="L551"/>
      <c r="M551"/>
      <c r="P551"/>
      <c r="Q551"/>
      <c r="R551"/>
      <c r="S551"/>
      <c r="T551"/>
    </row>
    <row r="552" spans="1:20" x14ac:dyDescent="0.25">
      <c r="A5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2" t="str">
        <f>SUBSTITUTE(SUBSTITUTE(tabSource[[#This Row],[ID]],"&lt;",""),"&gt;","")</f>
        <v>63033-V4A</v>
      </c>
      <c r="D552"/>
      <c r="E552"/>
      <c r="F552"/>
      <c r="G552"/>
      <c r="I552"/>
      <c r="J552"/>
      <c r="K552"/>
      <c r="L552"/>
      <c r="M552"/>
      <c r="P552"/>
      <c r="Q552"/>
      <c r="R552"/>
      <c r="S552"/>
      <c r="T552"/>
    </row>
    <row r="553" spans="1:20" x14ac:dyDescent="0.25">
      <c r="A5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3" t="str">
        <f>SUBSTITUTE(SUBSTITUTE(tabSource[[#This Row],[ID]],"&lt;",""),"&gt;","")</f>
        <v>63033-V4A-P</v>
      </c>
      <c r="D553"/>
      <c r="E553"/>
      <c r="F553"/>
      <c r="G553"/>
      <c r="I553"/>
      <c r="J553"/>
      <c r="K553"/>
      <c r="L553"/>
      <c r="M553"/>
      <c r="P553"/>
      <c r="Q553"/>
      <c r="R553"/>
      <c r="S553"/>
      <c r="T553"/>
    </row>
    <row r="554" spans="1:20" x14ac:dyDescent="0.25">
      <c r="A5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4" t="str">
        <f>SUBSTITUTE(SUBSTITUTE(tabSource[[#This Row],[ID]],"&lt;",""),"&gt;","")</f>
        <v>63034</v>
      </c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</row>
    <row r="555" spans="1:20" x14ac:dyDescent="0.25">
      <c r="A5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5" t="str">
        <f>SUBSTITUTE(SUBSTITUTE(tabSource[[#This Row],[ID]],"&lt;",""),"&gt;","")</f>
        <v>63034-V4A</v>
      </c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</row>
    <row r="556" spans="1:20" x14ac:dyDescent="0.25">
      <c r="A5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6" t="str">
        <f>SUBSTITUTE(SUBSTITUTE(tabSource[[#This Row],[ID]],"&lt;",""),"&gt;","")</f>
        <v>63034-V4A-P</v>
      </c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</row>
    <row r="557" spans="1:20" x14ac:dyDescent="0.25">
      <c r="A5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7" t="str">
        <f>SUBSTITUTE(SUBSTITUTE(tabSource[[#This Row],[ID]],"&lt;",""),"&gt;","")</f>
        <v>63035</v>
      </c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</row>
    <row r="558" spans="1:20" x14ac:dyDescent="0.25">
      <c r="A5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8" t="str">
        <f>SUBSTITUTE(SUBSTITUTE(tabSource[[#This Row],[ID]],"&lt;",""),"&gt;","")</f>
        <v>63035-V</v>
      </c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</row>
    <row r="559" spans="1:20" x14ac:dyDescent="0.25">
      <c r="A5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59" t="str">
        <f>SUBSTITUTE(SUBSTITUTE(tabSource[[#This Row],[ID]],"&lt;",""),"&gt;","")</f>
        <v>63035-V4A</v>
      </c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</row>
    <row r="560" spans="1:20" x14ac:dyDescent="0.25">
      <c r="A5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0" t="str">
        <f>SUBSTITUTE(SUBSTITUTE(tabSource[[#This Row],[ID]],"&lt;",""),"&gt;","")</f>
        <v>63035-V4A-P</v>
      </c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</row>
    <row r="561" spans="1:20" x14ac:dyDescent="0.25">
      <c r="A5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1" t="str">
        <f>SUBSTITUTE(SUBSTITUTE(tabSource[[#This Row],[ID]],"&lt;",""),"&gt;","")</f>
        <v>63035-V4A-P-V</v>
      </c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</row>
    <row r="562" spans="1:20" x14ac:dyDescent="0.25">
      <c r="A5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2" t="str">
        <f>SUBSTITUTE(SUBSTITUTE(tabSource[[#This Row],[ID]],"&lt;",""),"&gt;","")</f>
        <v>63035-V4A-V</v>
      </c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</row>
    <row r="563" spans="1:20" x14ac:dyDescent="0.25">
      <c r="A5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3" t="str">
        <f>SUBSTITUTE(SUBSTITUTE(tabSource[[#This Row],[ID]],"&lt;",""),"&gt;","")</f>
        <v>63036</v>
      </c>
      <c r="D563"/>
      <c r="E563"/>
      <c r="F563"/>
      <c r="G563"/>
      <c r="I563"/>
      <c r="J563"/>
      <c r="K563"/>
      <c r="L563"/>
      <c r="M563"/>
      <c r="P563"/>
      <c r="Q563"/>
      <c r="R563"/>
      <c r="S563"/>
      <c r="T563"/>
    </row>
    <row r="564" spans="1:20" x14ac:dyDescent="0.25">
      <c r="A5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4" t="str">
        <f>SUBSTITUTE(SUBSTITUTE(tabSource[[#This Row],[ID]],"&lt;",""),"&gt;","")</f>
        <v>63037</v>
      </c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</row>
    <row r="565" spans="1:20" x14ac:dyDescent="0.25">
      <c r="A5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5" t="str">
        <f>SUBSTITUTE(SUBSTITUTE(tabSource[[#This Row],[ID]],"&lt;",""),"&gt;","")</f>
        <v>63037-V</v>
      </c>
      <c r="D565"/>
      <c r="E565"/>
      <c r="F565"/>
      <c r="G565"/>
      <c r="I565"/>
      <c r="J565"/>
      <c r="K565"/>
      <c r="L565"/>
      <c r="M565"/>
      <c r="P565"/>
      <c r="Q565"/>
      <c r="R565"/>
      <c r="S565"/>
      <c r="T565"/>
    </row>
    <row r="566" spans="1:20" x14ac:dyDescent="0.25">
      <c r="A5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6" t="str">
        <f>SUBSTITUTE(SUBSTITUTE(tabSource[[#This Row],[ID]],"&lt;",""),"&gt;","")</f>
        <v>63038</v>
      </c>
      <c r="D566"/>
      <c r="E566"/>
      <c r="F566"/>
      <c r="G566"/>
      <c r="I566"/>
      <c r="J566"/>
      <c r="K566"/>
      <c r="L566"/>
      <c r="M566"/>
      <c r="P566"/>
      <c r="Q566"/>
      <c r="R566"/>
      <c r="S566"/>
      <c r="T566"/>
    </row>
    <row r="567" spans="1:20" x14ac:dyDescent="0.25">
      <c r="A5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7" t="str">
        <f>SUBSTITUTE(SUBSTITUTE(tabSource[[#This Row],[ID]],"&lt;",""),"&gt;","")</f>
        <v>63039</v>
      </c>
      <c r="D567"/>
      <c r="E567"/>
      <c r="F567"/>
      <c r="G567"/>
      <c r="I567"/>
      <c r="J567"/>
      <c r="K567"/>
      <c r="L567"/>
      <c r="M567"/>
      <c r="P567"/>
      <c r="Q567"/>
      <c r="R567"/>
      <c r="S567"/>
      <c r="T567"/>
    </row>
    <row r="568" spans="1:20" x14ac:dyDescent="0.25">
      <c r="A5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8" t="str">
        <f>SUBSTITUTE(SUBSTITUTE(tabSource[[#This Row],[ID]],"&lt;",""),"&gt;","")</f>
        <v>63041</v>
      </c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</row>
    <row r="569" spans="1:20" x14ac:dyDescent="0.25">
      <c r="A5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69" t="str">
        <f>SUBSTITUTE(SUBSTITUTE(tabSource[[#This Row],[ID]],"&lt;",""),"&gt;","")</f>
        <v>63041-V4A</v>
      </c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</row>
    <row r="570" spans="1:20" x14ac:dyDescent="0.25">
      <c r="A5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0" t="str">
        <f>SUBSTITUTE(SUBSTITUTE(tabSource[[#This Row],[ID]],"&lt;",""),"&gt;","")</f>
        <v>63041-V4A-P</v>
      </c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</row>
    <row r="571" spans="1:20" x14ac:dyDescent="0.25">
      <c r="A5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1" t="str">
        <f>SUBSTITUTE(SUBSTITUTE(tabSource[[#This Row],[ID]],"&lt;",""),"&gt;","")</f>
        <v>63042</v>
      </c>
      <c r="D571"/>
      <c r="E571"/>
      <c r="F571"/>
      <c r="G571"/>
      <c r="I571"/>
      <c r="J571"/>
      <c r="K571"/>
      <c r="L571"/>
      <c r="M571"/>
      <c r="P571"/>
      <c r="Q571"/>
      <c r="R571"/>
      <c r="S571"/>
      <c r="T571"/>
    </row>
    <row r="572" spans="1:20" x14ac:dyDescent="0.25">
      <c r="A5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2" t="str">
        <f>SUBSTITUTE(SUBSTITUTE(tabSource[[#This Row],[ID]],"&lt;",""),"&gt;","")</f>
        <v>63045</v>
      </c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</row>
    <row r="573" spans="1:20" x14ac:dyDescent="0.25">
      <c r="A5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3" t="str">
        <f>SUBSTITUTE(SUBSTITUTE(tabSource[[#This Row],[ID]],"&lt;",""),"&gt;","")</f>
        <v>63045-V4A</v>
      </c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</row>
    <row r="574" spans="1:20" x14ac:dyDescent="0.25">
      <c r="A5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4" t="str">
        <f>SUBSTITUTE(SUBSTITUTE(tabSource[[#This Row],[ID]],"&lt;",""),"&gt;","")</f>
        <v>63045-V4A-P</v>
      </c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</row>
    <row r="575" spans="1:20" x14ac:dyDescent="0.25">
      <c r="A5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5" t="str">
        <f>SUBSTITUTE(SUBSTITUTE(tabSource[[#This Row],[ID]],"&lt;",""),"&gt;","")</f>
        <v>63046</v>
      </c>
      <c r="D575"/>
      <c r="E575"/>
      <c r="F575"/>
      <c r="G575"/>
      <c r="I575"/>
      <c r="J575"/>
      <c r="K575"/>
      <c r="L575"/>
      <c r="M575"/>
      <c r="P575"/>
      <c r="Q575"/>
      <c r="R575"/>
      <c r="S575"/>
      <c r="T575"/>
    </row>
    <row r="576" spans="1:20" x14ac:dyDescent="0.25">
      <c r="A5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6" t="str">
        <f>SUBSTITUTE(SUBSTITUTE(tabSource[[#This Row],[ID]],"&lt;",""),"&gt;","")</f>
        <v>63047</v>
      </c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</row>
    <row r="577" spans="1:20" x14ac:dyDescent="0.25">
      <c r="A5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7" t="str">
        <f>SUBSTITUTE(SUBSTITUTE(tabSource[[#This Row],[ID]],"&lt;",""),"&gt;","")</f>
        <v>63048</v>
      </c>
      <c r="D577"/>
      <c r="E577"/>
      <c r="F577"/>
      <c r="G577"/>
      <c r="I577"/>
      <c r="J577"/>
      <c r="K577"/>
      <c r="L577"/>
      <c r="M577"/>
      <c r="P577"/>
      <c r="Q577"/>
      <c r="R577"/>
      <c r="S577"/>
      <c r="T577"/>
    </row>
    <row r="578" spans="1:20" x14ac:dyDescent="0.25">
      <c r="A5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8" t="str">
        <f>SUBSTITUTE(SUBSTITUTE(tabSource[[#This Row],[ID]],"&lt;",""),"&gt;","")</f>
        <v>63050</v>
      </c>
      <c r="D578"/>
      <c r="E578"/>
      <c r="F578"/>
      <c r="G578"/>
      <c r="H578"/>
      <c r="I578"/>
      <c r="J578"/>
      <c r="K578"/>
      <c r="L578"/>
      <c r="M578"/>
      <c r="N578"/>
      <c r="O578"/>
      <c r="Q578"/>
      <c r="R578"/>
      <c r="S578"/>
      <c r="T578"/>
    </row>
    <row r="579" spans="1:20" x14ac:dyDescent="0.25">
      <c r="A5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79" t="str">
        <f>SUBSTITUTE(SUBSTITUTE(tabSource[[#This Row],[ID]],"&lt;",""),"&gt;","")</f>
        <v>63050-V4A</v>
      </c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</row>
    <row r="580" spans="1:20" x14ac:dyDescent="0.25">
      <c r="A5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0" t="str">
        <f>SUBSTITUTE(SUBSTITUTE(tabSource[[#This Row],[ID]],"&lt;",""),"&gt;","")</f>
        <v>63050-V4A-P</v>
      </c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</row>
    <row r="581" spans="1:20" x14ac:dyDescent="0.25">
      <c r="A5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1" t="str">
        <f>SUBSTITUTE(SUBSTITUTE(tabSource[[#This Row],[ID]],"&lt;",""),"&gt;","")</f>
        <v>63051</v>
      </c>
      <c r="D581"/>
      <c r="E581"/>
      <c r="F581"/>
      <c r="G581"/>
      <c r="H581"/>
      <c r="I581"/>
      <c r="J581"/>
      <c r="K581"/>
      <c r="L581"/>
      <c r="M581"/>
      <c r="O581"/>
      <c r="P581"/>
      <c r="Q581"/>
      <c r="R581"/>
      <c r="S581"/>
      <c r="T581"/>
    </row>
    <row r="582" spans="1:20" x14ac:dyDescent="0.25">
      <c r="A5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2" t="str">
        <f>SUBSTITUTE(SUBSTITUTE(tabSource[[#This Row],[ID]],"&lt;",""),"&gt;","")</f>
        <v>63051-V4A</v>
      </c>
      <c r="D582"/>
      <c r="E582"/>
      <c r="F582"/>
      <c r="G582"/>
      <c r="H582"/>
      <c r="I582"/>
      <c r="J582"/>
      <c r="K582"/>
      <c r="L582"/>
      <c r="M582"/>
      <c r="O582"/>
      <c r="Q582"/>
      <c r="R582"/>
      <c r="S582"/>
      <c r="T582"/>
    </row>
    <row r="583" spans="1:20" x14ac:dyDescent="0.25">
      <c r="A5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3" t="str">
        <f>SUBSTITUTE(SUBSTITUTE(tabSource[[#This Row],[ID]],"&lt;",""),"&gt;","")</f>
        <v>63051-V4A-P</v>
      </c>
      <c r="D583"/>
      <c r="E583"/>
      <c r="F583"/>
      <c r="G583"/>
      <c r="H583"/>
      <c r="I583"/>
      <c r="J583"/>
      <c r="K583"/>
      <c r="L583"/>
      <c r="M583"/>
      <c r="O583"/>
      <c r="Q583"/>
      <c r="R583"/>
      <c r="S583"/>
      <c r="T583"/>
    </row>
    <row r="584" spans="1:20" x14ac:dyDescent="0.25">
      <c r="A5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4" t="str">
        <f>SUBSTITUTE(SUBSTITUTE(tabSource[[#This Row],[ID]],"&lt;",""),"&gt;","")</f>
        <v>63052</v>
      </c>
      <c r="D584"/>
      <c r="E584"/>
      <c r="F584"/>
      <c r="G584"/>
      <c r="H584"/>
      <c r="I584"/>
      <c r="J584"/>
      <c r="K584"/>
      <c r="L584"/>
      <c r="M584"/>
      <c r="N584"/>
      <c r="O584"/>
      <c r="Q584"/>
      <c r="R584"/>
      <c r="S584"/>
      <c r="T584"/>
    </row>
    <row r="585" spans="1:20" x14ac:dyDescent="0.25">
      <c r="A5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5" t="str">
        <f>SUBSTITUTE(SUBSTITUTE(tabSource[[#This Row],[ID]],"&lt;",""),"&gt;","")</f>
        <v>63052-V4A</v>
      </c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</row>
    <row r="586" spans="1:20" x14ac:dyDescent="0.25">
      <c r="A5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6" t="str">
        <f>SUBSTITUTE(SUBSTITUTE(tabSource[[#This Row],[ID]],"&lt;",""),"&gt;","")</f>
        <v>63052-V4A-P</v>
      </c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</row>
    <row r="587" spans="1:20" x14ac:dyDescent="0.25">
      <c r="A5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7" t="str">
        <f>SUBSTITUTE(SUBSTITUTE(tabSource[[#This Row],[ID]],"&lt;",""),"&gt;","")</f>
        <v>63053</v>
      </c>
      <c r="D587"/>
      <c r="E587"/>
      <c r="F587"/>
      <c r="G587"/>
      <c r="H587"/>
      <c r="I587"/>
      <c r="J587"/>
      <c r="K587"/>
      <c r="L587"/>
      <c r="M587"/>
      <c r="O587"/>
      <c r="Q587"/>
      <c r="R587"/>
      <c r="S587"/>
      <c r="T587"/>
    </row>
    <row r="588" spans="1:20" x14ac:dyDescent="0.25">
      <c r="A5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8" t="str">
        <f>SUBSTITUTE(SUBSTITUTE(tabSource[[#This Row],[ID]],"&lt;",""),"&gt;","")</f>
        <v>63053-V4A</v>
      </c>
      <c r="D588"/>
      <c r="E588"/>
      <c r="F588"/>
      <c r="G588"/>
      <c r="H588"/>
      <c r="I588"/>
      <c r="J588"/>
      <c r="K588"/>
      <c r="L588"/>
      <c r="M588"/>
      <c r="O588"/>
      <c r="Q588"/>
      <c r="R588"/>
      <c r="S588"/>
      <c r="T588"/>
    </row>
    <row r="589" spans="1:20" x14ac:dyDescent="0.25">
      <c r="A5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89" t="str">
        <f>SUBSTITUTE(SUBSTITUTE(tabSource[[#This Row],[ID]],"&lt;",""),"&gt;","")</f>
        <v>63053-V4A-P</v>
      </c>
      <c r="D589"/>
      <c r="E589"/>
      <c r="F589"/>
      <c r="G589"/>
      <c r="H589"/>
      <c r="I589"/>
      <c r="J589"/>
      <c r="K589"/>
      <c r="L589"/>
      <c r="M589"/>
      <c r="O589"/>
      <c r="Q589"/>
      <c r="R589"/>
      <c r="S589"/>
      <c r="T589"/>
    </row>
    <row r="590" spans="1:20" x14ac:dyDescent="0.25">
      <c r="A5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0" t="str">
        <f>SUBSTITUTE(SUBSTITUTE(tabSource[[#This Row],[ID]],"&lt;",""),"&gt;","")</f>
        <v>63054-V4A</v>
      </c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</row>
    <row r="591" spans="1:20" x14ac:dyDescent="0.25">
      <c r="A5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1" t="str">
        <f>SUBSTITUTE(SUBSTITUTE(tabSource[[#This Row],[ID]],"&lt;",""),"&gt;","")</f>
        <v>63054-V4A-P</v>
      </c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</row>
    <row r="592" spans="1:20" x14ac:dyDescent="0.25">
      <c r="A5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2" t="str">
        <f>SUBSTITUTE(SUBSTITUTE(tabSource[[#This Row],[ID]],"&lt;",""),"&gt;","")</f>
        <v>63056-V4A</v>
      </c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</row>
    <row r="593" spans="1:20" x14ac:dyDescent="0.25">
      <c r="A5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3" t="str">
        <f>SUBSTITUTE(SUBSTITUTE(tabSource[[#This Row],[ID]],"&lt;",""),"&gt;","")</f>
        <v>63056-V4A-P</v>
      </c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</row>
    <row r="594" spans="1:20" x14ac:dyDescent="0.25">
      <c r="A5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4" t="str">
        <f>SUBSTITUTE(SUBSTITUTE(tabSource[[#This Row],[ID]],"&lt;",""),"&gt;","")</f>
        <v>63061</v>
      </c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</row>
    <row r="595" spans="1:20" x14ac:dyDescent="0.25">
      <c r="A5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5" t="str">
        <f>SUBSTITUTE(SUBSTITUTE(tabSource[[#This Row],[ID]],"&lt;",""),"&gt;","")</f>
        <v>63062</v>
      </c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</row>
    <row r="596" spans="1:20" x14ac:dyDescent="0.25">
      <c r="A5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6" t="str">
        <f>SUBSTITUTE(SUBSTITUTE(tabSource[[#This Row],[ID]],"&lt;",""),"&gt;","")</f>
        <v>63065</v>
      </c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</row>
    <row r="597" spans="1:20" x14ac:dyDescent="0.25">
      <c r="A5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7" t="str">
        <f>SUBSTITUTE(SUBSTITUTE(tabSource[[#This Row],[ID]],"&lt;",""),"&gt;","")</f>
        <v>63066</v>
      </c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</row>
    <row r="598" spans="1:20" x14ac:dyDescent="0.25">
      <c r="A5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8" t="str">
        <f>SUBSTITUTE(SUBSTITUTE(tabSource[[#This Row],[ID]],"&lt;",""),"&gt;","")</f>
        <v>63067</v>
      </c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</row>
    <row r="599" spans="1:20" x14ac:dyDescent="0.25">
      <c r="A5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5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599" t="str">
        <f>SUBSTITUTE(SUBSTITUTE(tabSource[[#This Row],[ID]],"&lt;",""),"&gt;","")</f>
        <v>63068</v>
      </c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</row>
    <row r="600" spans="1:20" x14ac:dyDescent="0.25">
      <c r="A6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0" t="str">
        <f>SUBSTITUTE(SUBSTITUTE(tabSource[[#This Row],[ID]],"&lt;",""),"&gt;","")</f>
        <v>63071</v>
      </c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</row>
    <row r="601" spans="1:20" x14ac:dyDescent="0.25">
      <c r="A6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1" t="str">
        <f>SUBSTITUTE(SUBSTITUTE(tabSource[[#This Row],[ID]],"&lt;",""),"&gt;","")</f>
        <v>63072</v>
      </c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</row>
    <row r="602" spans="1:20" x14ac:dyDescent="0.25">
      <c r="A6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2" t="str">
        <f>SUBSTITUTE(SUBSTITUTE(tabSource[[#This Row],[ID]],"&lt;",""),"&gt;","")</f>
        <v>63075</v>
      </c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</row>
    <row r="603" spans="1:20" x14ac:dyDescent="0.25">
      <c r="A6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3" t="str">
        <f>SUBSTITUTE(SUBSTITUTE(tabSource[[#This Row],[ID]],"&lt;",""),"&gt;","")</f>
        <v>63076</v>
      </c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</row>
    <row r="604" spans="1:20" x14ac:dyDescent="0.25">
      <c r="A6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4" t="str">
        <f>SUBSTITUTE(SUBSTITUTE(tabSource[[#This Row],[ID]],"&lt;",""),"&gt;","")</f>
        <v>63077</v>
      </c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</row>
    <row r="605" spans="1:20" x14ac:dyDescent="0.25">
      <c r="A6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5" t="str">
        <f>SUBSTITUTE(SUBSTITUTE(tabSource[[#This Row],[ID]],"&lt;",""),"&gt;","")</f>
        <v>63078</v>
      </c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</row>
    <row r="606" spans="1:20" x14ac:dyDescent="0.25">
      <c r="A6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6" t="str">
        <f>SUBSTITUTE(SUBSTITUTE(tabSource[[#This Row],[ID]],"&lt;",""),"&gt;","")</f>
        <v>63085</v>
      </c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</row>
    <row r="607" spans="1:20" x14ac:dyDescent="0.25">
      <c r="A6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7" t="str">
        <f>SUBSTITUTE(SUBSTITUTE(tabSource[[#This Row],[ID]],"&lt;",""),"&gt;","")</f>
        <v>63085-V4A</v>
      </c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</row>
    <row r="608" spans="1:20" x14ac:dyDescent="0.25">
      <c r="A6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8" t="str">
        <f>SUBSTITUTE(SUBSTITUTE(tabSource[[#This Row],[ID]],"&lt;",""),"&gt;","")</f>
        <v>63085-V4A-P</v>
      </c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</row>
    <row r="609" spans="1:20" x14ac:dyDescent="0.25">
      <c r="A6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09" t="str">
        <f>SUBSTITUTE(SUBSTITUTE(tabSource[[#This Row],[ID]],"&lt;",""),"&gt;","")</f>
        <v>63086</v>
      </c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</row>
    <row r="610" spans="1:20" x14ac:dyDescent="0.25">
      <c r="A6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0" t="str">
        <f>SUBSTITUTE(SUBSTITUTE(tabSource[[#This Row],[ID]],"&lt;",""),"&gt;","")</f>
        <v>63087</v>
      </c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</row>
    <row r="611" spans="1:20" x14ac:dyDescent="0.25">
      <c r="A6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1" t="str">
        <f>SUBSTITUTE(SUBSTITUTE(tabSource[[#This Row],[ID]],"&lt;",""),"&gt;","")</f>
        <v>63088</v>
      </c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</row>
    <row r="612" spans="1:20" x14ac:dyDescent="0.25">
      <c r="A6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2" t="str">
        <f>SUBSTITUTE(SUBSTITUTE(tabSource[[#This Row],[ID]],"&lt;",""),"&gt;","")</f>
        <v>63089</v>
      </c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</row>
    <row r="613" spans="1:20" x14ac:dyDescent="0.25">
      <c r="A6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3" t="str">
        <f>SUBSTITUTE(SUBSTITUTE(tabSource[[#This Row],[ID]],"&lt;",""),"&gt;","")</f>
        <v>63090</v>
      </c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</row>
    <row r="614" spans="1:20" x14ac:dyDescent="0.25">
      <c r="A6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4" t="str">
        <f>SUBSTITUTE(SUBSTITUTE(tabSource[[#This Row],[ID]],"&lt;",""),"&gt;","")</f>
        <v>63090-V4A</v>
      </c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</row>
    <row r="615" spans="1:20" x14ac:dyDescent="0.25">
      <c r="A6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5" t="str">
        <f>SUBSTITUTE(SUBSTITUTE(tabSource[[#This Row],[ID]],"&lt;",""),"&gt;","")</f>
        <v>63090-V4A-P</v>
      </c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</row>
    <row r="616" spans="1:20" x14ac:dyDescent="0.25">
      <c r="A6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6" t="str">
        <f>SUBSTITUTE(SUBSTITUTE(tabSource[[#This Row],[ID]],"&lt;",""),"&gt;","")</f>
        <v>63091</v>
      </c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</row>
    <row r="617" spans="1:20" x14ac:dyDescent="0.25">
      <c r="A6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7" t="str">
        <f>SUBSTITUTE(SUBSTITUTE(tabSource[[#This Row],[ID]],"&lt;",""),"&gt;","")</f>
        <v>63091-V4A</v>
      </c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</row>
    <row r="618" spans="1:20" x14ac:dyDescent="0.25">
      <c r="A6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8" t="str">
        <f>SUBSTITUTE(SUBSTITUTE(tabSource[[#This Row],[ID]],"&lt;",""),"&gt;","")</f>
        <v>63091-V4A-P</v>
      </c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</row>
    <row r="619" spans="1:20" x14ac:dyDescent="0.25">
      <c r="A6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19" t="str">
        <f>SUBSTITUTE(SUBSTITUTE(tabSource[[#This Row],[ID]],"&lt;",""),"&gt;","")</f>
        <v>63092</v>
      </c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</row>
    <row r="620" spans="1:20" x14ac:dyDescent="0.25">
      <c r="A6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0" t="str">
        <f>SUBSTITUTE(SUBSTITUTE(tabSource[[#This Row],[ID]],"&lt;",""),"&gt;","")</f>
        <v>63093</v>
      </c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</row>
    <row r="621" spans="1:20" x14ac:dyDescent="0.25">
      <c r="A6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1" t="str">
        <f>SUBSTITUTE(SUBSTITUTE(tabSource[[#This Row],[ID]],"&lt;",""),"&gt;","")</f>
        <v>63094</v>
      </c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</row>
    <row r="622" spans="1:20" x14ac:dyDescent="0.25">
      <c r="A6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2" t="str">
        <f>SUBSTITUTE(SUBSTITUTE(tabSource[[#This Row],[ID]],"&lt;",""),"&gt;","")</f>
        <v>63095</v>
      </c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</row>
    <row r="623" spans="1:20" x14ac:dyDescent="0.25">
      <c r="A6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3" t="str">
        <f>SUBSTITUTE(SUBSTITUTE(tabSource[[#This Row],[ID]],"&lt;",""),"&gt;","")</f>
        <v>63095-V4A</v>
      </c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</row>
    <row r="624" spans="1:20" x14ac:dyDescent="0.25">
      <c r="A6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4" t="str">
        <f>SUBSTITUTE(SUBSTITUTE(tabSource[[#This Row],[ID]],"&lt;",""),"&gt;","")</f>
        <v>63095-V4A-P</v>
      </c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</row>
    <row r="625" spans="1:20" x14ac:dyDescent="0.25">
      <c r="A6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5" t="str">
        <f>SUBSTITUTE(SUBSTITUTE(tabSource[[#This Row],[ID]],"&lt;",""),"&gt;","")</f>
        <v>63096</v>
      </c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</row>
    <row r="626" spans="1:20" x14ac:dyDescent="0.25">
      <c r="A6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6" t="str">
        <f>SUBSTITUTE(SUBSTITUTE(tabSource[[#This Row],[ID]],"&lt;",""),"&gt;","")</f>
        <v>63096-V4A</v>
      </c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</row>
    <row r="627" spans="1:20" x14ac:dyDescent="0.25">
      <c r="A6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7" t="str">
        <f>SUBSTITUTE(SUBSTITUTE(tabSource[[#This Row],[ID]],"&lt;",""),"&gt;","")</f>
        <v>63096-V4A-P</v>
      </c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</row>
    <row r="628" spans="1:20" x14ac:dyDescent="0.25">
      <c r="A6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8" t="str">
        <f>SUBSTITUTE(SUBSTITUTE(tabSource[[#This Row],[ID]],"&lt;",""),"&gt;","")</f>
        <v>63097</v>
      </c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</row>
    <row r="629" spans="1:20" x14ac:dyDescent="0.25">
      <c r="A6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29" t="str">
        <f>SUBSTITUTE(SUBSTITUTE(tabSource[[#This Row],[ID]],"&lt;",""),"&gt;","")</f>
        <v>63097-V4A</v>
      </c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</row>
    <row r="630" spans="1:20" x14ac:dyDescent="0.25">
      <c r="A6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0" t="str">
        <f>SUBSTITUTE(SUBSTITUTE(tabSource[[#This Row],[ID]],"&lt;",""),"&gt;","")</f>
        <v>63097-V4A-P</v>
      </c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</row>
    <row r="631" spans="1:20" x14ac:dyDescent="0.25">
      <c r="A6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1" t="str">
        <f>SUBSTITUTE(SUBSTITUTE(tabSource[[#This Row],[ID]],"&lt;",""),"&gt;","")</f>
        <v>63098</v>
      </c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</row>
    <row r="632" spans="1:20" x14ac:dyDescent="0.25">
      <c r="A6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2" t="str">
        <f>SUBSTITUTE(SUBSTITUTE(tabSource[[#This Row],[ID]],"&lt;",""),"&gt;","")</f>
        <v>63098-V4A</v>
      </c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</row>
    <row r="633" spans="1:20" x14ac:dyDescent="0.25">
      <c r="A6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3" t="str">
        <f>SUBSTITUTE(SUBSTITUTE(tabSource[[#This Row],[ID]],"&lt;",""),"&gt;","")</f>
        <v>63098-V4A-P</v>
      </c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</row>
    <row r="634" spans="1:20" x14ac:dyDescent="0.25">
      <c r="A6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4" t="str">
        <f>SUBSTITUTE(SUBSTITUTE(tabSource[[#This Row],[ID]],"&lt;",""),"&gt;","")</f>
        <v>63099</v>
      </c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</row>
    <row r="635" spans="1:20" x14ac:dyDescent="0.25">
      <c r="A6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5" t="str">
        <f>SUBSTITUTE(SUBSTITUTE(tabSource[[#This Row],[ID]],"&lt;",""),"&gt;","")</f>
        <v>63099-V4A</v>
      </c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</row>
    <row r="636" spans="1:20" x14ac:dyDescent="0.25">
      <c r="A6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6" t="str">
        <f>SUBSTITUTE(SUBSTITUTE(tabSource[[#This Row],[ID]],"&lt;",""),"&gt;","")</f>
        <v>63099-V4A-P</v>
      </c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</row>
    <row r="637" spans="1:20" x14ac:dyDescent="0.25">
      <c r="A6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7" t="str">
        <f>SUBSTITUTE(SUBSTITUTE(tabSource[[#This Row],[ID]],"&lt;",""),"&gt;","")</f>
        <v>63100</v>
      </c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</row>
    <row r="638" spans="1:20" x14ac:dyDescent="0.25">
      <c r="A6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8" t="str">
        <f>SUBSTITUTE(SUBSTITUTE(tabSource[[#This Row],[ID]],"&lt;",""),"&gt;","")</f>
        <v>63100-V4A</v>
      </c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</row>
    <row r="639" spans="1:20" x14ac:dyDescent="0.25">
      <c r="A6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39" t="str">
        <f>SUBSTITUTE(SUBSTITUTE(tabSource[[#This Row],[ID]],"&lt;",""),"&gt;","")</f>
        <v>63100-V4A-P</v>
      </c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</row>
    <row r="640" spans="1:20" x14ac:dyDescent="0.25">
      <c r="A6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0" t="str">
        <f>SUBSTITUTE(SUBSTITUTE(tabSource[[#This Row],[ID]],"&lt;",""),"&gt;","")</f>
        <v>63101</v>
      </c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</row>
    <row r="641" spans="1:20" x14ac:dyDescent="0.25">
      <c r="A6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1" t="str">
        <f>SUBSTITUTE(SUBSTITUTE(tabSource[[#This Row],[ID]],"&lt;",""),"&gt;","")</f>
        <v>63101-V4A</v>
      </c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</row>
    <row r="642" spans="1:20" x14ac:dyDescent="0.25">
      <c r="A6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2" t="str">
        <f>SUBSTITUTE(SUBSTITUTE(tabSource[[#This Row],[ID]],"&lt;",""),"&gt;","")</f>
        <v>63101-V4A-P</v>
      </c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</row>
    <row r="643" spans="1:20" x14ac:dyDescent="0.25">
      <c r="A6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3" t="str">
        <f>SUBSTITUTE(SUBSTITUTE(tabSource[[#This Row],[ID]],"&lt;",""),"&gt;","")</f>
        <v>63102</v>
      </c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</row>
    <row r="644" spans="1:20" x14ac:dyDescent="0.25">
      <c r="A6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4" t="str">
        <f>SUBSTITUTE(SUBSTITUTE(tabSource[[#This Row],[ID]],"&lt;",""),"&gt;","")</f>
        <v>63102-V4A</v>
      </c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</row>
    <row r="645" spans="1:20" x14ac:dyDescent="0.25">
      <c r="A6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5" t="str">
        <f>SUBSTITUTE(SUBSTITUTE(tabSource[[#This Row],[ID]],"&lt;",""),"&gt;","")</f>
        <v>63102-V4A-P</v>
      </c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</row>
    <row r="646" spans="1:20" x14ac:dyDescent="0.25">
      <c r="A6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6" t="str">
        <f>SUBSTITUTE(SUBSTITUTE(tabSource[[#This Row],[ID]],"&lt;",""),"&gt;","")</f>
        <v>63103</v>
      </c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</row>
    <row r="647" spans="1:20" x14ac:dyDescent="0.25">
      <c r="A6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7" t="str">
        <f>SUBSTITUTE(SUBSTITUTE(tabSource[[#This Row],[ID]],"&lt;",""),"&gt;","")</f>
        <v>63104</v>
      </c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</row>
    <row r="648" spans="1:20" x14ac:dyDescent="0.25">
      <c r="A6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8" t="str">
        <f>SUBSTITUTE(SUBSTITUTE(tabSource[[#This Row],[ID]],"&lt;",""),"&gt;","")</f>
        <v>63104-V4A</v>
      </c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</row>
    <row r="649" spans="1:20" x14ac:dyDescent="0.25">
      <c r="A6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49" t="str">
        <f>SUBSTITUTE(SUBSTITUTE(tabSource[[#This Row],[ID]],"&lt;",""),"&gt;","")</f>
        <v>63104-V4A-P</v>
      </c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</row>
    <row r="650" spans="1:20" x14ac:dyDescent="0.25">
      <c r="A6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0" t="str">
        <f>SUBSTITUTE(SUBSTITUTE(tabSource[[#This Row],[ID]],"&lt;",""),"&gt;","")</f>
        <v>63105</v>
      </c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</row>
    <row r="651" spans="1:20" x14ac:dyDescent="0.25">
      <c r="A6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1" t="str">
        <f>SUBSTITUTE(SUBSTITUTE(tabSource[[#This Row],[ID]],"&lt;",""),"&gt;","")</f>
        <v>63105-V4A</v>
      </c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</row>
    <row r="652" spans="1:20" x14ac:dyDescent="0.25">
      <c r="A6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2" t="str">
        <f>SUBSTITUTE(SUBSTITUTE(tabSource[[#This Row],[ID]],"&lt;",""),"&gt;","")</f>
        <v>63105-V4A-P</v>
      </c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</row>
    <row r="653" spans="1:20" x14ac:dyDescent="0.25">
      <c r="A6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3" t="str">
        <f>SUBSTITUTE(SUBSTITUTE(tabSource[[#This Row],[ID]],"&lt;",""),"&gt;","")</f>
        <v>63106</v>
      </c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</row>
    <row r="654" spans="1:20" x14ac:dyDescent="0.25">
      <c r="A6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4" t="str">
        <f>SUBSTITUTE(SUBSTITUTE(tabSource[[#This Row],[ID]],"&lt;",""),"&gt;","")</f>
        <v>63107</v>
      </c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</row>
    <row r="655" spans="1:20" x14ac:dyDescent="0.25">
      <c r="A6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5" t="str">
        <f>SUBSTITUTE(SUBSTITUTE(tabSource[[#This Row],[ID]],"&lt;",""),"&gt;","")</f>
        <v>63108</v>
      </c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</row>
    <row r="656" spans="1:20" x14ac:dyDescent="0.25">
      <c r="A6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6" t="str">
        <f>SUBSTITUTE(SUBSTITUTE(tabSource[[#This Row],[ID]],"&lt;",""),"&gt;","")</f>
        <v>63109</v>
      </c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</row>
    <row r="657" spans="1:20" x14ac:dyDescent="0.25">
      <c r="A6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7" t="str">
        <f>SUBSTITUTE(SUBSTITUTE(tabSource[[#This Row],[ID]],"&lt;",""),"&gt;","")</f>
        <v>63110</v>
      </c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</row>
    <row r="658" spans="1:20" x14ac:dyDescent="0.25">
      <c r="A6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8" t="str">
        <f>SUBSTITUTE(SUBSTITUTE(tabSource[[#This Row],[ID]],"&lt;",""),"&gt;","")</f>
        <v>63112</v>
      </c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</row>
    <row r="659" spans="1:20" x14ac:dyDescent="0.25">
      <c r="A6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59" t="str">
        <f>SUBSTITUTE(SUBSTITUTE(tabSource[[#This Row],[ID]],"&lt;",""),"&gt;","")</f>
        <v>63113</v>
      </c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</row>
    <row r="660" spans="1:20" x14ac:dyDescent="0.25">
      <c r="A6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0" t="str">
        <f>SUBSTITUTE(SUBSTITUTE(tabSource[[#This Row],[ID]],"&lt;",""),"&gt;","")</f>
        <v>63114</v>
      </c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</row>
    <row r="661" spans="1:20" x14ac:dyDescent="0.25">
      <c r="A6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1" t="str">
        <f>SUBSTITUTE(SUBSTITUTE(tabSource[[#This Row],[ID]],"&lt;",""),"&gt;","")</f>
        <v>63115</v>
      </c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</row>
    <row r="662" spans="1:20" x14ac:dyDescent="0.25">
      <c r="A6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2" t="str">
        <f>SUBSTITUTE(SUBSTITUTE(tabSource[[#This Row],[ID]],"&lt;",""),"&gt;","")</f>
        <v>63116</v>
      </c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</row>
    <row r="663" spans="1:20" x14ac:dyDescent="0.25">
      <c r="A6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3" t="str">
        <f>SUBSTITUTE(SUBSTITUTE(tabSource[[#This Row],[ID]],"&lt;",""),"&gt;","")</f>
        <v>63118</v>
      </c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</row>
    <row r="664" spans="1:20" x14ac:dyDescent="0.25">
      <c r="A6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4" t="str">
        <f>SUBSTITUTE(SUBSTITUTE(tabSource[[#This Row],[ID]],"&lt;",""),"&gt;","")</f>
        <v>63119</v>
      </c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</row>
    <row r="665" spans="1:20" x14ac:dyDescent="0.25">
      <c r="A6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5" t="str">
        <f>SUBSTITUTE(SUBSTITUTE(tabSource[[#This Row],[ID]],"&lt;",""),"&gt;","")</f>
        <v>63120</v>
      </c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</row>
    <row r="666" spans="1:20" x14ac:dyDescent="0.25">
      <c r="A6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6" t="str">
        <f>SUBSTITUTE(SUBSTITUTE(tabSource[[#This Row],[ID]],"&lt;",""),"&gt;","")</f>
        <v>63120L</v>
      </c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</row>
    <row r="667" spans="1:20" x14ac:dyDescent="0.25">
      <c r="A6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7" t="str">
        <f>SUBSTITUTE(SUBSTITUTE(tabSource[[#This Row],[ID]],"&lt;",""),"&gt;","")</f>
        <v>63120L-V4A</v>
      </c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</row>
    <row r="668" spans="1:20" x14ac:dyDescent="0.25">
      <c r="A6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8" t="str">
        <f>SUBSTITUTE(SUBSTITUTE(tabSource[[#This Row],[ID]],"&lt;",""),"&gt;","")</f>
        <v>63120-V4A</v>
      </c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</row>
    <row r="669" spans="1:20" x14ac:dyDescent="0.25">
      <c r="A6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69" t="str">
        <f>SUBSTITUTE(SUBSTITUTE(tabSource[[#This Row],[ID]],"&lt;",""),"&gt;","")</f>
        <v>63121</v>
      </c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</row>
    <row r="670" spans="1:20" x14ac:dyDescent="0.25">
      <c r="A6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0" t="str">
        <f>SUBSTITUTE(SUBSTITUTE(tabSource[[#This Row],[ID]],"&lt;",""),"&gt;","")</f>
        <v>63121L</v>
      </c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</row>
    <row r="671" spans="1:20" x14ac:dyDescent="0.25">
      <c r="A6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1" t="str">
        <f>SUBSTITUTE(SUBSTITUTE(tabSource[[#This Row],[ID]],"&lt;",""),"&gt;","")</f>
        <v>63121L-V4A</v>
      </c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</row>
    <row r="672" spans="1:20" x14ac:dyDescent="0.25">
      <c r="A6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2" t="str">
        <f>SUBSTITUTE(SUBSTITUTE(tabSource[[#This Row],[ID]],"&lt;",""),"&gt;","")</f>
        <v>63121-V4A</v>
      </c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</row>
    <row r="673" spans="1:20" x14ac:dyDescent="0.25">
      <c r="A6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3" t="str">
        <f>SUBSTITUTE(SUBSTITUTE(tabSource[[#This Row],[ID]],"&lt;",""),"&gt;","")</f>
        <v>63122</v>
      </c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</row>
    <row r="674" spans="1:20" x14ac:dyDescent="0.25">
      <c r="A6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4" t="str">
        <f>SUBSTITUTE(SUBSTITUTE(tabSource[[#This Row],[ID]],"&lt;",""),"&gt;","")</f>
        <v>63122L</v>
      </c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</row>
    <row r="675" spans="1:20" x14ac:dyDescent="0.25">
      <c r="A6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5" t="str">
        <f>SUBSTITUTE(SUBSTITUTE(tabSource[[#This Row],[ID]],"&lt;",""),"&gt;","")</f>
        <v>63122L-V4A</v>
      </c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</row>
    <row r="676" spans="1:20" x14ac:dyDescent="0.25">
      <c r="A6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6" t="str">
        <f>SUBSTITUTE(SUBSTITUTE(tabSource[[#This Row],[ID]],"&lt;",""),"&gt;","")</f>
        <v>63122-V4A</v>
      </c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</row>
    <row r="677" spans="1:20" x14ac:dyDescent="0.25">
      <c r="A6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7" t="str">
        <f>SUBSTITUTE(SUBSTITUTE(tabSource[[#This Row],[ID]],"&lt;",""),"&gt;","")</f>
        <v>63124</v>
      </c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</row>
    <row r="678" spans="1:20" x14ac:dyDescent="0.25">
      <c r="A6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8" t="str">
        <f>SUBSTITUTE(SUBSTITUTE(tabSource[[#This Row],[ID]],"&lt;",""),"&gt;","")</f>
        <v>63124L</v>
      </c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</row>
    <row r="679" spans="1:20" x14ac:dyDescent="0.25">
      <c r="A6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79" t="str">
        <f>SUBSTITUTE(SUBSTITUTE(tabSource[[#This Row],[ID]],"&lt;",""),"&gt;","")</f>
        <v>63124L-V4A</v>
      </c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</row>
    <row r="680" spans="1:20" x14ac:dyDescent="0.25">
      <c r="A6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0" t="str">
        <f>SUBSTITUTE(SUBSTITUTE(tabSource[[#This Row],[ID]],"&lt;",""),"&gt;","")</f>
        <v>63124-V4A</v>
      </c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</row>
    <row r="681" spans="1:20" x14ac:dyDescent="0.25">
      <c r="A6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1" t="str">
        <f>SUBSTITUTE(SUBSTITUTE(tabSource[[#This Row],[ID]],"&lt;",""),"&gt;","")</f>
        <v>63125</v>
      </c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</row>
    <row r="682" spans="1:20" x14ac:dyDescent="0.25">
      <c r="A6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2" t="str">
        <f>SUBSTITUTE(SUBSTITUTE(tabSource[[#This Row],[ID]],"&lt;",""),"&gt;","")</f>
        <v>63125L</v>
      </c>
      <c r="D682"/>
      <c r="E682"/>
      <c r="F682"/>
      <c r="G682"/>
      <c r="I682"/>
      <c r="J682"/>
      <c r="K682"/>
      <c r="L682"/>
      <c r="M682"/>
      <c r="P682"/>
      <c r="Q682"/>
      <c r="R682"/>
      <c r="S682"/>
      <c r="T682"/>
    </row>
    <row r="683" spans="1:20" x14ac:dyDescent="0.25">
      <c r="A6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3" t="str">
        <f>SUBSTITUTE(SUBSTITUTE(tabSource[[#This Row],[ID]],"&lt;",""),"&gt;","")</f>
        <v>63125L-V4A</v>
      </c>
      <c r="D683"/>
      <c r="E683"/>
      <c r="F683"/>
      <c r="G683"/>
      <c r="I683"/>
      <c r="J683"/>
      <c r="K683"/>
      <c r="L683"/>
      <c r="M683"/>
      <c r="P683"/>
      <c r="Q683"/>
      <c r="R683"/>
      <c r="S683"/>
      <c r="T683"/>
    </row>
    <row r="684" spans="1:20" x14ac:dyDescent="0.25">
      <c r="A6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4" t="str">
        <f>SUBSTITUTE(SUBSTITUTE(tabSource[[#This Row],[ID]],"&lt;",""),"&gt;","")</f>
        <v>63125-V4A</v>
      </c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</row>
    <row r="685" spans="1:20" x14ac:dyDescent="0.25">
      <c r="A6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5" t="str">
        <f>SUBSTITUTE(SUBSTITUTE(tabSource[[#This Row],[ID]],"&lt;",""),"&gt;","")</f>
        <v>63132</v>
      </c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</row>
    <row r="686" spans="1:20" x14ac:dyDescent="0.25">
      <c r="A6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6" t="str">
        <f>SUBSTITUTE(SUBSTITUTE(tabSource[[#This Row],[ID]],"&lt;",""),"&gt;","")</f>
        <v>63141</v>
      </c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</row>
    <row r="687" spans="1:20" x14ac:dyDescent="0.25">
      <c r="A6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7" t="str">
        <f>SUBSTITUTE(SUBSTITUTE(tabSource[[#This Row],[ID]],"&lt;",""),"&gt;","")</f>
        <v>63141-V4A</v>
      </c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</row>
    <row r="688" spans="1:20" x14ac:dyDescent="0.25">
      <c r="A6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8" t="str">
        <f>SUBSTITUTE(SUBSTITUTE(tabSource[[#This Row],[ID]],"&lt;",""),"&gt;","")</f>
        <v>63142</v>
      </c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  <row r="689" spans="1:20" x14ac:dyDescent="0.25">
      <c r="A6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89" t="str">
        <f>SUBSTITUTE(SUBSTITUTE(tabSource[[#This Row],[ID]],"&lt;",""),"&gt;","")</f>
        <v>63142-V4A</v>
      </c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</row>
    <row r="690" spans="1:20" x14ac:dyDescent="0.25">
      <c r="A6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0" t="str">
        <f>SUBSTITUTE(SUBSTITUTE(tabSource[[#This Row],[ID]],"&lt;",""),"&gt;","")</f>
        <v>63144</v>
      </c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</row>
    <row r="691" spans="1:20" x14ac:dyDescent="0.25">
      <c r="A6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1" t="str">
        <f>SUBSTITUTE(SUBSTITUTE(tabSource[[#This Row],[ID]],"&lt;",""),"&gt;","")</f>
        <v>63146</v>
      </c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</row>
    <row r="692" spans="1:20" x14ac:dyDescent="0.25">
      <c r="A6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2" t="str">
        <f>SUBSTITUTE(SUBSTITUTE(tabSource[[#This Row],[ID]],"&lt;",""),"&gt;","")</f>
        <v>63146-V4A</v>
      </c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</row>
    <row r="693" spans="1:20" x14ac:dyDescent="0.25">
      <c r="A6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3" t="str">
        <f>SUBSTITUTE(SUBSTITUTE(tabSource[[#This Row],[ID]],"&lt;",""),"&gt;","")</f>
        <v>63151</v>
      </c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</row>
    <row r="694" spans="1:20" x14ac:dyDescent="0.25">
      <c r="A6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4" t="str">
        <f>SUBSTITUTE(SUBSTITUTE(tabSource[[#This Row],[ID]],"&lt;",""),"&gt;","")</f>
        <v>63152</v>
      </c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</row>
    <row r="695" spans="1:20" x14ac:dyDescent="0.25">
      <c r="A6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5" t="str">
        <f>SUBSTITUTE(SUBSTITUTE(tabSource[[#This Row],[ID]],"&lt;",""),"&gt;","")</f>
        <v>63153</v>
      </c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</row>
    <row r="696" spans="1:20" x14ac:dyDescent="0.25">
      <c r="A6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6" t="str">
        <f>SUBSTITUTE(SUBSTITUTE(tabSource[[#This Row],[ID]],"&lt;",""),"&gt;","")</f>
        <v>63153-V4A</v>
      </c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</row>
    <row r="697" spans="1:20" x14ac:dyDescent="0.25">
      <c r="A6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7" t="str">
        <f>SUBSTITUTE(SUBSTITUTE(tabSource[[#This Row],[ID]],"&lt;",""),"&gt;","")</f>
        <v>63154</v>
      </c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</row>
    <row r="698" spans="1:20" x14ac:dyDescent="0.25">
      <c r="A6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8" t="str">
        <f>SUBSTITUTE(SUBSTITUTE(tabSource[[#This Row],[ID]],"&lt;",""),"&gt;","")</f>
        <v>63155</v>
      </c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</row>
    <row r="699" spans="1:20" x14ac:dyDescent="0.25">
      <c r="A6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6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699" t="str">
        <f>SUBSTITUTE(SUBSTITUTE(tabSource[[#This Row],[ID]],"&lt;",""),"&gt;","")</f>
        <v>63155-V4A</v>
      </c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</row>
    <row r="700" spans="1:20" x14ac:dyDescent="0.25">
      <c r="A7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0" t="str">
        <f>SUBSTITUTE(SUBSTITUTE(tabSource[[#This Row],[ID]],"&lt;",""),"&gt;","")</f>
        <v>63156</v>
      </c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</row>
    <row r="701" spans="1:20" x14ac:dyDescent="0.25">
      <c r="A7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1" t="str">
        <f>SUBSTITUTE(SUBSTITUTE(tabSource[[#This Row],[ID]],"&lt;",""),"&gt;","")</f>
        <v>63157</v>
      </c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</row>
    <row r="702" spans="1:20" x14ac:dyDescent="0.25">
      <c r="A7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2" t="str">
        <f>SUBSTITUTE(SUBSTITUTE(tabSource[[#This Row],[ID]],"&lt;",""),"&gt;","")</f>
        <v>63158</v>
      </c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</row>
    <row r="703" spans="1:20" x14ac:dyDescent="0.25">
      <c r="A7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3" t="str">
        <f>SUBSTITUTE(SUBSTITUTE(tabSource[[#This Row],[ID]],"&lt;",""),"&gt;","")</f>
        <v>63160</v>
      </c>
      <c r="D703"/>
      <c r="E703"/>
      <c r="F703"/>
      <c r="G703"/>
      <c r="I703"/>
      <c r="J703"/>
      <c r="K703"/>
      <c r="L703"/>
      <c r="M703"/>
      <c r="P703"/>
      <c r="Q703"/>
      <c r="R703"/>
      <c r="S703"/>
      <c r="T703"/>
    </row>
    <row r="704" spans="1:20" x14ac:dyDescent="0.25">
      <c r="A7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4" t="str">
        <f>SUBSTITUTE(SUBSTITUTE(tabSource[[#This Row],[ID]],"&lt;",""),"&gt;","")</f>
        <v>63162</v>
      </c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</row>
    <row r="705" spans="1:20" x14ac:dyDescent="0.25">
      <c r="A7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5" t="str">
        <f>SUBSTITUTE(SUBSTITUTE(tabSource[[#This Row],[ID]],"&lt;",""),"&gt;","")</f>
        <v>63162-V4A</v>
      </c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</row>
    <row r="706" spans="1:20" x14ac:dyDescent="0.25">
      <c r="A7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6" t="str">
        <f>SUBSTITUTE(SUBSTITUTE(tabSource[[#This Row],[ID]],"&lt;",""),"&gt;","")</f>
        <v>63163</v>
      </c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</row>
    <row r="707" spans="1:20" x14ac:dyDescent="0.25">
      <c r="A7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7" t="str">
        <f>SUBSTITUTE(SUBSTITUTE(tabSource[[#This Row],[ID]],"&lt;",""),"&gt;","")</f>
        <v>63163-V4A</v>
      </c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</row>
    <row r="708" spans="1:20" x14ac:dyDescent="0.25">
      <c r="A7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8" t="str">
        <f>SUBSTITUTE(SUBSTITUTE(tabSource[[#This Row],[ID]],"&lt;",""),"&gt;","")</f>
        <v>63166</v>
      </c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</row>
    <row r="709" spans="1:20" x14ac:dyDescent="0.25">
      <c r="A7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09" t="str">
        <f>SUBSTITUTE(SUBSTITUTE(tabSource[[#This Row],[ID]],"&lt;",""),"&gt;","")</f>
        <v>63170</v>
      </c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</row>
    <row r="710" spans="1:20" x14ac:dyDescent="0.25">
      <c r="A7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0" t="str">
        <f>SUBSTITUTE(SUBSTITUTE(tabSource[[#This Row],[ID]],"&lt;",""),"&gt;","")</f>
        <v>63170-V4A</v>
      </c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</row>
    <row r="711" spans="1:20" x14ac:dyDescent="0.25">
      <c r="A7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1" t="str">
        <f>SUBSTITUTE(SUBSTITUTE(tabSource[[#This Row],[ID]],"&lt;",""),"&gt;","")</f>
        <v>63170-V4A-P</v>
      </c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</row>
    <row r="712" spans="1:20" x14ac:dyDescent="0.25">
      <c r="A7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2" t="str">
        <f>SUBSTITUTE(SUBSTITUTE(tabSource[[#This Row],[ID]],"&lt;",""),"&gt;","")</f>
        <v>63172</v>
      </c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</row>
    <row r="713" spans="1:20" x14ac:dyDescent="0.25">
      <c r="A7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3" t="str">
        <f>SUBSTITUTE(SUBSTITUTE(tabSource[[#This Row],[ID]],"&lt;",""),"&gt;","")</f>
        <v>63172-V4A</v>
      </c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</row>
    <row r="714" spans="1:20" x14ac:dyDescent="0.25">
      <c r="A7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4" t="str">
        <f>SUBSTITUTE(SUBSTITUTE(tabSource[[#This Row],[ID]],"&lt;",""),"&gt;","")</f>
        <v>63172-V4A-P</v>
      </c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</row>
    <row r="715" spans="1:20" x14ac:dyDescent="0.25">
      <c r="A7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5" t="str">
        <f>SUBSTITUTE(SUBSTITUTE(tabSource[[#This Row],[ID]],"&lt;",""),"&gt;","")</f>
        <v>63173</v>
      </c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</row>
    <row r="716" spans="1:20" x14ac:dyDescent="0.25">
      <c r="A7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6" t="str">
        <f>SUBSTITUTE(SUBSTITUTE(tabSource[[#This Row],[ID]],"&lt;",""),"&gt;","")</f>
        <v>63173-V4A</v>
      </c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</row>
    <row r="717" spans="1:20" x14ac:dyDescent="0.25">
      <c r="A7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7" t="str">
        <f>SUBSTITUTE(SUBSTITUTE(tabSource[[#This Row],[ID]],"&lt;",""),"&gt;","")</f>
        <v>63173-V4A-P</v>
      </c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</row>
    <row r="718" spans="1:20" x14ac:dyDescent="0.25">
      <c r="A7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8" t="str">
        <f>SUBSTITUTE(SUBSTITUTE(tabSource[[#This Row],[ID]],"&lt;",""),"&gt;","")</f>
        <v>63174</v>
      </c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</row>
    <row r="719" spans="1:20" x14ac:dyDescent="0.25">
      <c r="A7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19" t="str">
        <f>SUBSTITUTE(SUBSTITUTE(tabSource[[#This Row],[ID]],"&lt;",""),"&gt;","")</f>
        <v>63174-V4A</v>
      </c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</row>
    <row r="720" spans="1:20" x14ac:dyDescent="0.25">
      <c r="A7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0" t="str">
        <f>SUBSTITUTE(SUBSTITUTE(tabSource[[#This Row],[ID]],"&lt;",""),"&gt;","")</f>
        <v>63174-V4A-P</v>
      </c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</row>
    <row r="721" spans="1:20" x14ac:dyDescent="0.25">
      <c r="A7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1" t="str">
        <f>SUBSTITUTE(SUBSTITUTE(tabSource[[#This Row],[ID]],"&lt;",""),"&gt;","")</f>
        <v>63175</v>
      </c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</row>
    <row r="722" spans="1:20" x14ac:dyDescent="0.25">
      <c r="A7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2" t="str">
        <f>SUBSTITUTE(SUBSTITUTE(tabSource[[#This Row],[ID]],"&lt;",""),"&gt;","")</f>
        <v>63175-V4A</v>
      </c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</row>
    <row r="723" spans="1:20" x14ac:dyDescent="0.25">
      <c r="A7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3" t="str">
        <f>SUBSTITUTE(SUBSTITUTE(tabSource[[#This Row],[ID]],"&lt;",""),"&gt;","")</f>
        <v>63175-V4A-P</v>
      </c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</row>
    <row r="724" spans="1:20" x14ac:dyDescent="0.25">
      <c r="A7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4" t="str">
        <f>SUBSTITUTE(SUBSTITUTE(tabSource[[#This Row],[ID]],"&lt;",""),"&gt;","")</f>
        <v>63176</v>
      </c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</row>
    <row r="725" spans="1:20" x14ac:dyDescent="0.25">
      <c r="A7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5" t="str">
        <f>SUBSTITUTE(SUBSTITUTE(tabSource[[#This Row],[ID]],"&lt;",""),"&gt;","")</f>
        <v>63176-V4A</v>
      </c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</row>
    <row r="726" spans="1:20" x14ac:dyDescent="0.25">
      <c r="A7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6" t="str">
        <f>SUBSTITUTE(SUBSTITUTE(tabSource[[#This Row],[ID]],"&lt;",""),"&gt;","")</f>
        <v>63176-V4A-P</v>
      </c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</row>
    <row r="727" spans="1:20" x14ac:dyDescent="0.25">
      <c r="A7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7" t="str">
        <f>SUBSTITUTE(SUBSTITUTE(tabSource[[#This Row],[ID]],"&lt;",""),"&gt;","")</f>
        <v>63193</v>
      </c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</row>
    <row r="728" spans="1:20" x14ac:dyDescent="0.25">
      <c r="A7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8" t="str">
        <f>SUBSTITUTE(SUBSTITUTE(tabSource[[#This Row],[ID]],"&lt;",""),"&gt;","")</f>
        <v>63300</v>
      </c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</row>
    <row r="729" spans="1:20" x14ac:dyDescent="0.25">
      <c r="A7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29" t="str">
        <f>SUBSTITUTE(SUBSTITUTE(tabSource[[#This Row],[ID]],"&lt;",""),"&gt;","")</f>
        <v>63301</v>
      </c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</row>
    <row r="730" spans="1:20" x14ac:dyDescent="0.25">
      <c r="A7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0" t="str">
        <f>SUBSTITUTE(SUBSTITUTE(tabSource[[#This Row],[ID]],"&lt;",""),"&gt;","")</f>
        <v>63302</v>
      </c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</row>
    <row r="731" spans="1:20" x14ac:dyDescent="0.25">
      <c r="A7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1" t="str">
        <f>SUBSTITUTE(SUBSTITUTE(tabSource[[#This Row],[ID]],"&lt;",""),"&gt;","")</f>
        <v>63303</v>
      </c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</row>
    <row r="732" spans="1:20" x14ac:dyDescent="0.25">
      <c r="A7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2" t="str">
        <f>SUBSTITUTE(SUBSTITUTE(tabSource[[#This Row],[ID]],"&lt;",""),"&gt;","")</f>
        <v>63304</v>
      </c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</row>
    <row r="733" spans="1:20" x14ac:dyDescent="0.25">
      <c r="A7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3" t="str">
        <f>SUBSTITUTE(SUBSTITUTE(tabSource[[#This Row],[ID]],"&lt;",""),"&gt;","")</f>
        <v>63305</v>
      </c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</row>
    <row r="734" spans="1:20" x14ac:dyDescent="0.25">
      <c r="A7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4" t="str">
        <f>SUBSTITUTE(SUBSTITUTE(tabSource[[#This Row],[ID]],"&lt;",""),"&gt;","")</f>
        <v>63306</v>
      </c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</row>
    <row r="735" spans="1:20" x14ac:dyDescent="0.25">
      <c r="A7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5" t="str">
        <f>SUBSTITUTE(SUBSTITUTE(tabSource[[#This Row],[ID]],"&lt;",""),"&gt;","")</f>
        <v>63307</v>
      </c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</row>
    <row r="736" spans="1:20" x14ac:dyDescent="0.25">
      <c r="A7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6" t="str">
        <f>SUBSTITUTE(SUBSTITUTE(tabSource[[#This Row],[ID]],"&lt;",""),"&gt;","")</f>
        <v>63308</v>
      </c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</row>
    <row r="737" spans="1:20" x14ac:dyDescent="0.25">
      <c r="A7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7" t="str">
        <f>SUBSTITUTE(SUBSTITUTE(tabSource[[#This Row],[ID]],"&lt;",""),"&gt;","")</f>
        <v>63309</v>
      </c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</row>
    <row r="738" spans="1:20" x14ac:dyDescent="0.25">
      <c r="A7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8" t="str">
        <f>SUBSTITUTE(SUBSTITUTE(tabSource[[#This Row],[ID]],"&lt;",""),"&gt;","")</f>
        <v>63340</v>
      </c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</row>
    <row r="739" spans="1:20" x14ac:dyDescent="0.25">
      <c r="A7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39" t="str">
        <f>SUBSTITUTE(SUBSTITUTE(tabSource[[#This Row],[ID]],"&lt;",""),"&gt;","")</f>
        <v>63341</v>
      </c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</row>
    <row r="740" spans="1:20" x14ac:dyDescent="0.25">
      <c r="A7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0" t="str">
        <f>SUBSTITUTE(SUBSTITUTE(tabSource[[#This Row],[ID]],"&lt;",""),"&gt;","")</f>
        <v>63342</v>
      </c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</row>
    <row r="741" spans="1:20" x14ac:dyDescent="0.25">
      <c r="A7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1" t="str">
        <f>SUBSTITUTE(SUBSTITUTE(tabSource[[#This Row],[ID]],"&lt;",""),"&gt;","")</f>
        <v>63343</v>
      </c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</row>
    <row r="742" spans="1:20" x14ac:dyDescent="0.25">
      <c r="A7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2" t="str">
        <f>SUBSTITUTE(SUBSTITUTE(tabSource[[#This Row],[ID]],"&lt;",""),"&gt;","")</f>
        <v>63344</v>
      </c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</row>
    <row r="743" spans="1:20" x14ac:dyDescent="0.25">
      <c r="A7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3" t="str">
        <f>SUBSTITUTE(SUBSTITUTE(tabSource[[#This Row],[ID]],"&lt;",""),"&gt;","")</f>
        <v>63345</v>
      </c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</row>
    <row r="744" spans="1:20" x14ac:dyDescent="0.25">
      <c r="A7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4" t="str">
        <f>SUBSTITUTE(SUBSTITUTE(tabSource[[#This Row],[ID]],"&lt;",""),"&gt;","")</f>
        <v>63346</v>
      </c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</row>
    <row r="745" spans="1:20" x14ac:dyDescent="0.25">
      <c r="A7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5" t="str">
        <f>SUBSTITUTE(SUBSTITUTE(tabSource[[#This Row],[ID]],"&lt;",""),"&gt;","")</f>
        <v>63347</v>
      </c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</row>
    <row r="746" spans="1:20" x14ac:dyDescent="0.25">
      <c r="A7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6" t="str">
        <f>SUBSTITUTE(SUBSTITUTE(tabSource[[#This Row],[ID]],"&lt;",""),"&gt;","")</f>
        <v>63348</v>
      </c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</row>
    <row r="747" spans="1:20" x14ac:dyDescent="0.25">
      <c r="A7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7" t="str">
        <f>SUBSTITUTE(SUBSTITUTE(tabSource[[#This Row],[ID]],"&lt;",""),"&gt;","")</f>
        <v>63349</v>
      </c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</row>
    <row r="748" spans="1:20" x14ac:dyDescent="0.25">
      <c r="A7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8" t="str">
        <f>SUBSTITUTE(SUBSTITUTE(tabSource[[#This Row],[ID]],"&lt;",""),"&gt;","")</f>
        <v>63350</v>
      </c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</row>
    <row r="749" spans="1:20" x14ac:dyDescent="0.25">
      <c r="A7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49" t="str">
        <f>SUBSTITUTE(SUBSTITUTE(tabSource[[#This Row],[ID]],"&lt;",""),"&gt;","")</f>
        <v>63352</v>
      </c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</row>
    <row r="750" spans="1:20" x14ac:dyDescent="0.25">
      <c r="A7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0" t="str">
        <f>SUBSTITUTE(SUBSTITUTE(tabSource[[#This Row],[ID]],"&lt;",""),"&gt;","")</f>
        <v>63354</v>
      </c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</row>
    <row r="751" spans="1:20" x14ac:dyDescent="0.25">
      <c r="A7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1" t="str">
        <f>SUBSTITUTE(SUBSTITUTE(tabSource[[#This Row],[ID]],"&lt;",""),"&gt;","")</f>
        <v>63356</v>
      </c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</row>
    <row r="752" spans="1:20" x14ac:dyDescent="0.25">
      <c r="A7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2" t="str">
        <f>SUBSTITUTE(SUBSTITUTE(tabSource[[#This Row],[ID]],"&lt;",""),"&gt;","")</f>
        <v>63360</v>
      </c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</row>
    <row r="753" spans="1:20" x14ac:dyDescent="0.25">
      <c r="A7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3" t="str">
        <f>SUBSTITUTE(SUBSTITUTE(tabSource[[#This Row],[ID]],"&lt;",""),"&gt;","")</f>
        <v>63362</v>
      </c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</row>
    <row r="754" spans="1:20" x14ac:dyDescent="0.25">
      <c r="A7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4" t="str">
        <f>SUBSTITUTE(SUBSTITUTE(tabSource[[#This Row],[ID]],"&lt;",""),"&gt;","")</f>
        <v>63364</v>
      </c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</row>
    <row r="755" spans="1:20" x14ac:dyDescent="0.25">
      <c r="A7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5" t="str">
        <f>SUBSTITUTE(SUBSTITUTE(tabSource[[#This Row],[ID]],"&lt;",""),"&gt;","")</f>
        <v>63366</v>
      </c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</row>
    <row r="756" spans="1:20" x14ac:dyDescent="0.25">
      <c r="A7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6" t="str">
        <f>SUBSTITUTE(SUBSTITUTE(tabSource[[#This Row],[ID]],"&lt;",""),"&gt;","")</f>
        <v>63370</v>
      </c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</row>
    <row r="757" spans="1:20" x14ac:dyDescent="0.25">
      <c r="A7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7" t="str">
        <f>SUBSTITUTE(SUBSTITUTE(tabSource[[#This Row],[ID]],"&lt;",""),"&gt;","")</f>
        <v>63371</v>
      </c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</row>
    <row r="758" spans="1:20" x14ac:dyDescent="0.25">
      <c r="A7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8" t="str">
        <f>SUBSTITUTE(SUBSTITUTE(tabSource[[#This Row],[ID]],"&lt;",""),"&gt;","")</f>
        <v>63372</v>
      </c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</row>
    <row r="759" spans="1:20" x14ac:dyDescent="0.25">
      <c r="A7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59" t="str">
        <f>SUBSTITUTE(SUBSTITUTE(tabSource[[#This Row],[ID]],"&lt;",""),"&gt;","")</f>
        <v>63373</v>
      </c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</row>
    <row r="760" spans="1:20" x14ac:dyDescent="0.25">
      <c r="A7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0" t="str">
        <f>SUBSTITUTE(SUBSTITUTE(tabSource[[#This Row],[ID]],"&lt;",""),"&gt;","")</f>
        <v>63374</v>
      </c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</row>
    <row r="761" spans="1:20" x14ac:dyDescent="0.25">
      <c r="A7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1" t="str">
        <f>SUBSTITUTE(SUBSTITUTE(tabSource[[#This Row],[ID]],"&lt;",""),"&gt;","")</f>
        <v>63375</v>
      </c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</row>
    <row r="762" spans="1:20" x14ac:dyDescent="0.25">
      <c r="A7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2" t="str">
        <f>SUBSTITUTE(SUBSTITUTE(tabSource[[#This Row],[ID]],"&lt;",""),"&gt;","")</f>
        <v>63376</v>
      </c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</row>
    <row r="763" spans="1:20" x14ac:dyDescent="0.25">
      <c r="A7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3" t="str">
        <f>SUBSTITUTE(SUBSTITUTE(tabSource[[#This Row],[ID]],"&lt;",""),"&gt;","")</f>
        <v>63377</v>
      </c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</row>
    <row r="764" spans="1:20" x14ac:dyDescent="0.25">
      <c r="A7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4" t="str">
        <f>SUBSTITUTE(SUBSTITUTE(tabSource[[#This Row],[ID]],"&lt;",""),"&gt;","")</f>
        <v>63378</v>
      </c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</row>
    <row r="765" spans="1:20" x14ac:dyDescent="0.25">
      <c r="A7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5" t="str">
        <f>SUBSTITUTE(SUBSTITUTE(tabSource[[#This Row],[ID]],"&lt;",""),"&gt;","")</f>
        <v>63380</v>
      </c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</row>
    <row r="766" spans="1:20" x14ac:dyDescent="0.25">
      <c r="A7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6" t="str">
        <f>SUBSTITUTE(SUBSTITUTE(tabSource[[#This Row],[ID]],"&lt;",""),"&gt;","")</f>
        <v>63381</v>
      </c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</row>
    <row r="767" spans="1:20" x14ac:dyDescent="0.25">
      <c r="A7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7" t="str">
        <f>SUBSTITUTE(SUBSTITUTE(tabSource[[#This Row],[ID]],"&lt;",""),"&gt;","")</f>
        <v>63382</v>
      </c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</row>
    <row r="768" spans="1:20" x14ac:dyDescent="0.25">
      <c r="A7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8" t="str">
        <f>SUBSTITUTE(SUBSTITUTE(tabSource[[#This Row],[ID]],"&lt;",""),"&gt;","")</f>
        <v>63383</v>
      </c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</row>
    <row r="769" spans="1:20" x14ac:dyDescent="0.25">
      <c r="A7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69" t="str">
        <f>SUBSTITUTE(SUBSTITUTE(tabSource[[#This Row],[ID]],"&lt;",""),"&gt;","")</f>
        <v>63384</v>
      </c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</row>
    <row r="770" spans="1:20" x14ac:dyDescent="0.25">
      <c r="A7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0" t="str">
        <f>SUBSTITUTE(SUBSTITUTE(tabSource[[#This Row],[ID]],"&lt;",""),"&gt;","")</f>
        <v>63385</v>
      </c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</row>
    <row r="771" spans="1:20" x14ac:dyDescent="0.25">
      <c r="A7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1" t="str">
        <f>SUBSTITUTE(SUBSTITUTE(tabSource[[#This Row],[ID]],"&lt;",""),"&gt;","")</f>
        <v>63386</v>
      </c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</row>
    <row r="772" spans="1:20" x14ac:dyDescent="0.25">
      <c r="A7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2" t="str">
        <f>SUBSTITUTE(SUBSTITUTE(tabSource[[#This Row],[ID]],"&lt;",""),"&gt;","")</f>
        <v>63387</v>
      </c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</row>
    <row r="773" spans="1:20" x14ac:dyDescent="0.25">
      <c r="A7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3" t="str">
        <f>SUBSTITUTE(SUBSTITUTE(tabSource[[#This Row],[ID]],"&lt;",""),"&gt;","")</f>
        <v>63388</v>
      </c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</row>
    <row r="774" spans="1:20" x14ac:dyDescent="0.25">
      <c r="A7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4" t="str">
        <f>SUBSTITUTE(SUBSTITUTE(tabSource[[#This Row],[ID]],"&lt;",""),"&gt;","")</f>
        <v>63400C</v>
      </c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</row>
    <row r="775" spans="1:20" x14ac:dyDescent="0.25">
      <c r="A7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5" t="str">
        <f>SUBSTITUTE(SUBSTITUTE(tabSource[[#This Row],[ID]],"&lt;",""),"&gt;","")</f>
        <v>63400C-V4A</v>
      </c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</row>
    <row r="776" spans="1:20" x14ac:dyDescent="0.25">
      <c r="A7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6" t="str">
        <f>SUBSTITUTE(SUBSTITUTE(tabSource[[#This Row],[ID]],"&lt;",""),"&gt;","")</f>
        <v>63400C-V4A-P</v>
      </c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</row>
    <row r="777" spans="1:20" x14ac:dyDescent="0.25">
      <c r="A7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7" t="str">
        <f>SUBSTITUTE(SUBSTITUTE(tabSource[[#This Row],[ID]],"&lt;",""),"&gt;","")</f>
        <v>63400D</v>
      </c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</row>
    <row r="778" spans="1:20" x14ac:dyDescent="0.25">
      <c r="A7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8" t="str">
        <f>SUBSTITUTE(SUBSTITUTE(tabSource[[#This Row],[ID]],"&lt;",""),"&gt;","")</f>
        <v>63400D-V4A</v>
      </c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</row>
    <row r="779" spans="1:20" x14ac:dyDescent="0.25">
      <c r="A7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79" t="str">
        <f>SUBSTITUTE(SUBSTITUTE(tabSource[[#This Row],[ID]],"&lt;",""),"&gt;","")</f>
        <v>63400D-V4A-P</v>
      </c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</row>
    <row r="780" spans="1:20" x14ac:dyDescent="0.25">
      <c r="A7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0" t="str">
        <f>SUBSTITUTE(SUBSTITUTE(tabSource[[#This Row],[ID]],"&lt;",""),"&gt;","")</f>
        <v>63400S</v>
      </c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</row>
    <row r="781" spans="1:20" x14ac:dyDescent="0.25">
      <c r="A7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1" t="str">
        <f>SUBSTITUTE(SUBSTITUTE(tabSource[[#This Row],[ID]],"&lt;",""),"&gt;","")</f>
        <v>63406C</v>
      </c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</row>
    <row r="782" spans="1:20" x14ac:dyDescent="0.25">
      <c r="A7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2" t="str">
        <f>SUBSTITUTE(SUBSTITUTE(tabSource[[#This Row],[ID]],"&lt;",""),"&gt;","")</f>
        <v>63406C-V4A</v>
      </c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</row>
    <row r="783" spans="1:20" x14ac:dyDescent="0.25">
      <c r="A7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3" t="str">
        <f>SUBSTITUTE(SUBSTITUTE(tabSource[[#This Row],[ID]],"&lt;",""),"&gt;","")</f>
        <v>63406C-V4A-P</v>
      </c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</row>
    <row r="784" spans="1:20" x14ac:dyDescent="0.25">
      <c r="A7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4" t="str">
        <f>SUBSTITUTE(SUBSTITUTE(tabSource[[#This Row],[ID]],"&lt;",""),"&gt;","")</f>
        <v>63406D</v>
      </c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</row>
    <row r="785" spans="1:20" x14ac:dyDescent="0.25">
      <c r="A7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5" t="str">
        <f>SUBSTITUTE(SUBSTITUTE(tabSource[[#This Row],[ID]],"&lt;",""),"&gt;","")</f>
        <v>63406D-V4A</v>
      </c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</row>
    <row r="786" spans="1:20" x14ac:dyDescent="0.25">
      <c r="A7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6" t="str">
        <f>SUBSTITUTE(SUBSTITUTE(tabSource[[#This Row],[ID]],"&lt;",""),"&gt;","")</f>
        <v>63406D-V4A-P</v>
      </c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</row>
    <row r="787" spans="1:20" x14ac:dyDescent="0.25">
      <c r="A7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7" t="str">
        <f>SUBSTITUTE(SUBSTITUTE(tabSource[[#This Row],[ID]],"&lt;",""),"&gt;","")</f>
        <v>63406S</v>
      </c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</row>
    <row r="788" spans="1:20" x14ac:dyDescent="0.25">
      <c r="A7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8" t="str">
        <f>SUBSTITUTE(SUBSTITUTE(tabSource[[#This Row],[ID]],"&lt;",""),"&gt;","")</f>
        <v>63408C</v>
      </c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</row>
    <row r="789" spans="1:20" x14ac:dyDescent="0.25">
      <c r="A7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89" t="str">
        <f>SUBSTITUTE(SUBSTITUTE(tabSource[[#This Row],[ID]],"&lt;",""),"&gt;","")</f>
        <v>63408S</v>
      </c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</row>
    <row r="790" spans="1:20" x14ac:dyDescent="0.25">
      <c r="A7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0" t="str">
        <f>SUBSTITUTE(SUBSTITUTE(tabSource[[#This Row],[ID]],"&lt;",""),"&gt;","")</f>
        <v>63409C</v>
      </c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</row>
    <row r="791" spans="1:20" x14ac:dyDescent="0.25">
      <c r="A7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1" t="str">
        <f>SUBSTITUTE(SUBSTITUTE(tabSource[[#This Row],[ID]],"&lt;",""),"&gt;","")</f>
        <v>63409C-V4A</v>
      </c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</row>
    <row r="792" spans="1:20" x14ac:dyDescent="0.25">
      <c r="A7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2" t="str">
        <f>SUBSTITUTE(SUBSTITUTE(tabSource[[#This Row],[ID]],"&lt;",""),"&gt;","")</f>
        <v>63409C-V4A-P</v>
      </c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</row>
    <row r="793" spans="1:20" x14ac:dyDescent="0.25">
      <c r="A7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3" t="str">
        <f>SUBSTITUTE(SUBSTITUTE(tabSource[[#This Row],[ID]],"&lt;",""),"&gt;","")</f>
        <v>63409D</v>
      </c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</row>
    <row r="794" spans="1:20" x14ac:dyDescent="0.25">
      <c r="A7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4" t="str">
        <f>SUBSTITUTE(SUBSTITUTE(tabSource[[#This Row],[ID]],"&lt;",""),"&gt;","")</f>
        <v>63409D-V4A</v>
      </c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</row>
    <row r="795" spans="1:20" x14ac:dyDescent="0.25">
      <c r="A7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5" t="str">
        <f>SUBSTITUTE(SUBSTITUTE(tabSource[[#This Row],[ID]],"&lt;",""),"&gt;","")</f>
        <v>63409D-V4A-P</v>
      </c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</row>
    <row r="796" spans="1:20" x14ac:dyDescent="0.25">
      <c r="A7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6" t="str">
        <f>SUBSTITUTE(SUBSTITUTE(tabSource[[#This Row],[ID]],"&lt;",""),"&gt;","")</f>
        <v>63409S</v>
      </c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</row>
    <row r="797" spans="1:20" x14ac:dyDescent="0.25">
      <c r="A7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7" t="str">
        <f>SUBSTITUTE(SUBSTITUTE(tabSource[[#This Row],[ID]],"&lt;",""),"&gt;","")</f>
        <v>63412C</v>
      </c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</row>
    <row r="798" spans="1:20" x14ac:dyDescent="0.25">
      <c r="A7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8" t="str">
        <f>SUBSTITUTE(SUBSTITUTE(tabSource[[#This Row],[ID]],"&lt;",""),"&gt;","")</f>
        <v>63412C-V4A</v>
      </c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</row>
    <row r="799" spans="1:20" x14ac:dyDescent="0.25">
      <c r="A7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7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799" t="str">
        <f>SUBSTITUTE(SUBSTITUTE(tabSource[[#This Row],[ID]],"&lt;",""),"&gt;","")</f>
        <v>63412C-V4A-P</v>
      </c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</row>
    <row r="800" spans="1:20" x14ac:dyDescent="0.25">
      <c r="A8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0" t="str">
        <f>SUBSTITUTE(SUBSTITUTE(tabSource[[#This Row],[ID]],"&lt;",""),"&gt;","")</f>
        <v>63412D</v>
      </c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</row>
    <row r="801" spans="1:20" x14ac:dyDescent="0.25">
      <c r="A8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1" t="str">
        <f>SUBSTITUTE(SUBSTITUTE(tabSource[[#This Row],[ID]],"&lt;",""),"&gt;","")</f>
        <v>63412D-V4A</v>
      </c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</row>
    <row r="802" spans="1:20" x14ac:dyDescent="0.25">
      <c r="A8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2" t="str">
        <f>SUBSTITUTE(SUBSTITUTE(tabSource[[#This Row],[ID]],"&lt;",""),"&gt;","")</f>
        <v>63412D-V4A-P</v>
      </c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</row>
    <row r="803" spans="1:20" x14ac:dyDescent="0.25">
      <c r="A8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3" t="str">
        <f>SUBSTITUTE(SUBSTITUTE(tabSource[[#This Row],[ID]],"&lt;",""),"&gt;","")</f>
        <v>63412S</v>
      </c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</row>
    <row r="804" spans="1:20" x14ac:dyDescent="0.25">
      <c r="A8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4" t="str">
        <f>SUBSTITUTE(SUBSTITUTE(tabSource[[#This Row],[ID]],"&lt;",""),"&gt;","")</f>
        <v>63416C</v>
      </c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</row>
    <row r="805" spans="1:20" x14ac:dyDescent="0.25">
      <c r="A8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5" t="str">
        <f>SUBSTITUTE(SUBSTITUTE(tabSource[[#This Row],[ID]],"&lt;",""),"&gt;","")</f>
        <v>63416C-V4A</v>
      </c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</row>
    <row r="806" spans="1:20" x14ac:dyDescent="0.25">
      <c r="A8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6" t="str">
        <f>SUBSTITUTE(SUBSTITUTE(tabSource[[#This Row],[ID]],"&lt;",""),"&gt;","")</f>
        <v>63416C-V4A-P</v>
      </c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</row>
    <row r="807" spans="1:20" x14ac:dyDescent="0.25">
      <c r="A8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7" t="str">
        <f>SUBSTITUTE(SUBSTITUTE(tabSource[[#This Row],[ID]],"&lt;",""),"&gt;","")</f>
        <v>63416D</v>
      </c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</row>
    <row r="808" spans="1:20" x14ac:dyDescent="0.25">
      <c r="A8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8" t="str">
        <f>SUBSTITUTE(SUBSTITUTE(tabSource[[#This Row],[ID]],"&lt;",""),"&gt;","")</f>
        <v>63416D-V4A</v>
      </c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</row>
    <row r="809" spans="1:20" x14ac:dyDescent="0.25">
      <c r="A8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09" t="str">
        <f>SUBSTITUTE(SUBSTITUTE(tabSource[[#This Row],[ID]],"&lt;",""),"&gt;","")</f>
        <v>63416D-V4A-P</v>
      </c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</row>
    <row r="810" spans="1:20" x14ac:dyDescent="0.25">
      <c r="A8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0" t="str">
        <f>SUBSTITUTE(SUBSTITUTE(tabSource[[#This Row],[ID]],"&lt;",""),"&gt;","")</f>
        <v>63416E</v>
      </c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</row>
    <row r="811" spans="1:20" x14ac:dyDescent="0.25">
      <c r="A8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1" t="str">
        <f>SUBSTITUTE(SUBSTITUTE(tabSource[[#This Row],[ID]],"&lt;",""),"&gt;","")</f>
        <v>63416E-V4A</v>
      </c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</row>
    <row r="812" spans="1:20" x14ac:dyDescent="0.25">
      <c r="A8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2" t="str">
        <f>SUBSTITUTE(SUBSTITUTE(tabSource[[#This Row],[ID]],"&lt;",""),"&gt;","")</f>
        <v>63416E-V4A-P</v>
      </c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</row>
    <row r="813" spans="1:20" x14ac:dyDescent="0.25">
      <c r="A8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3" t="str">
        <f>SUBSTITUTE(SUBSTITUTE(tabSource[[#This Row],[ID]],"&lt;",""),"&gt;","")</f>
        <v>63416I</v>
      </c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</row>
    <row r="814" spans="1:20" x14ac:dyDescent="0.25">
      <c r="A8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4" t="str">
        <f>SUBSTITUTE(SUBSTITUTE(tabSource[[#This Row],[ID]],"&lt;",""),"&gt;","")</f>
        <v>63416I-V4A</v>
      </c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</row>
    <row r="815" spans="1:20" x14ac:dyDescent="0.25">
      <c r="A8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5" t="str">
        <f>SUBSTITUTE(SUBSTITUTE(tabSource[[#This Row],[ID]],"&lt;",""),"&gt;","")</f>
        <v>63416I-V4A-P</v>
      </c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</row>
    <row r="816" spans="1:20" x14ac:dyDescent="0.25">
      <c r="A8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6" t="str">
        <f>SUBSTITUTE(SUBSTITUTE(tabSource[[#This Row],[ID]],"&lt;",""),"&gt;","")</f>
        <v>63416S</v>
      </c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</row>
    <row r="817" spans="1:20" x14ac:dyDescent="0.25">
      <c r="A8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7" t="str">
        <f>SUBSTITUTE(SUBSTITUTE(tabSource[[#This Row],[ID]],"&lt;",""),"&gt;","")</f>
        <v>63418C</v>
      </c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</row>
    <row r="818" spans="1:20" x14ac:dyDescent="0.25">
      <c r="A8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8" t="str">
        <f>SUBSTITUTE(SUBSTITUTE(tabSource[[#This Row],[ID]],"&lt;",""),"&gt;","")</f>
        <v>63418C-V4A</v>
      </c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</row>
    <row r="819" spans="1:20" x14ac:dyDescent="0.25">
      <c r="A8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19" t="str">
        <f>SUBSTITUTE(SUBSTITUTE(tabSource[[#This Row],[ID]],"&lt;",""),"&gt;","")</f>
        <v>63418C-V4A-P</v>
      </c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</row>
    <row r="820" spans="1:20" x14ac:dyDescent="0.25">
      <c r="A8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0" t="str">
        <f>SUBSTITUTE(SUBSTITUTE(tabSource[[#This Row],[ID]],"&lt;",""),"&gt;","")</f>
        <v>63418S</v>
      </c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</row>
    <row r="821" spans="1:20" x14ac:dyDescent="0.25">
      <c r="A8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1" t="str">
        <f>SUBSTITUTE(SUBSTITUTE(tabSource[[#This Row],[ID]],"&lt;",""),"&gt;","")</f>
        <v>63419C</v>
      </c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</row>
    <row r="822" spans="1:20" x14ac:dyDescent="0.25">
      <c r="A8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2" t="str">
        <f>SUBSTITUTE(SUBSTITUTE(tabSource[[#This Row],[ID]],"&lt;",""),"&gt;","")</f>
        <v>63419C-V4A</v>
      </c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</row>
    <row r="823" spans="1:20" x14ac:dyDescent="0.25">
      <c r="A8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3" t="str">
        <f>SUBSTITUTE(SUBSTITUTE(tabSource[[#This Row],[ID]],"&lt;",""),"&gt;","")</f>
        <v>63419C-V4A-P</v>
      </c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</row>
    <row r="824" spans="1:20" x14ac:dyDescent="0.25">
      <c r="A8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4" t="str">
        <f>SUBSTITUTE(SUBSTITUTE(tabSource[[#This Row],[ID]],"&lt;",""),"&gt;","")</f>
        <v>63419D</v>
      </c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</row>
    <row r="825" spans="1:20" x14ac:dyDescent="0.25">
      <c r="A8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5" t="str">
        <f>SUBSTITUTE(SUBSTITUTE(tabSource[[#This Row],[ID]],"&lt;",""),"&gt;","")</f>
        <v>63419D-V4A</v>
      </c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</row>
    <row r="826" spans="1:20" x14ac:dyDescent="0.25">
      <c r="A8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6" t="str">
        <f>SUBSTITUTE(SUBSTITUTE(tabSource[[#This Row],[ID]],"&lt;",""),"&gt;","")</f>
        <v>63419D-V4A-P</v>
      </c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</row>
    <row r="827" spans="1:20" x14ac:dyDescent="0.25">
      <c r="A8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7" t="str">
        <f>SUBSTITUTE(SUBSTITUTE(tabSource[[#This Row],[ID]],"&lt;",""),"&gt;","")</f>
        <v>63419S</v>
      </c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</row>
    <row r="828" spans="1:20" x14ac:dyDescent="0.25">
      <c r="A8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8" t="str">
        <f>SUBSTITUTE(SUBSTITUTE(tabSource[[#This Row],[ID]],"&lt;",""),"&gt;","")</f>
        <v>63422C</v>
      </c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</row>
    <row r="829" spans="1:20" x14ac:dyDescent="0.25">
      <c r="A8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29" t="str">
        <f>SUBSTITUTE(SUBSTITUTE(tabSource[[#This Row],[ID]],"&lt;",""),"&gt;","")</f>
        <v>63422S</v>
      </c>
      <c r="D829"/>
      <c r="E829"/>
      <c r="F829"/>
      <c r="G829"/>
      <c r="I829"/>
      <c r="J829"/>
      <c r="K829"/>
      <c r="L829"/>
      <c r="M829"/>
      <c r="O829"/>
      <c r="P829"/>
      <c r="Q829"/>
      <c r="R829"/>
      <c r="S829"/>
      <c r="T829"/>
    </row>
    <row r="830" spans="1:20" x14ac:dyDescent="0.25">
      <c r="A8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0" t="str">
        <f>SUBSTITUTE(SUBSTITUTE(tabSource[[#This Row],[ID]],"&lt;",""),"&gt;","")</f>
        <v>63426C</v>
      </c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</row>
    <row r="831" spans="1:20" x14ac:dyDescent="0.25">
      <c r="A8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1" t="str">
        <f>SUBSTITUTE(SUBSTITUTE(tabSource[[#This Row],[ID]],"&lt;",""),"&gt;","")</f>
        <v>63426S</v>
      </c>
      <c r="D831"/>
      <c r="E831"/>
      <c r="F831"/>
      <c r="G831"/>
      <c r="I831"/>
      <c r="J831"/>
      <c r="K831"/>
      <c r="L831"/>
      <c r="M831"/>
      <c r="O831"/>
      <c r="P831"/>
      <c r="Q831"/>
      <c r="R831"/>
      <c r="S831"/>
      <c r="T831"/>
    </row>
    <row r="832" spans="1:20" x14ac:dyDescent="0.25">
      <c r="A8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2" t="str">
        <f>SUBSTITUTE(SUBSTITUTE(tabSource[[#This Row],[ID]],"&lt;",""),"&gt;","")</f>
        <v>63428C</v>
      </c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</row>
    <row r="833" spans="1:20" x14ac:dyDescent="0.25">
      <c r="A8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3" t="str">
        <f>SUBSTITUTE(SUBSTITUTE(tabSource[[#This Row],[ID]],"&lt;",""),"&gt;","")</f>
        <v>63428S</v>
      </c>
      <c r="D833"/>
      <c r="E833"/>
      <c r="F833"/>
      <c r="G833"/>
      <c r="I833"/>
      <c r="J833"/>
      <c r="K833"/>
      <c r="L833"/>
      <c r="M833"/>
      <c r="O833"/>
      <c r="P833"/>
      <c r="Q833"/>
      <c r="R833"/>
      <c r="S833"/>
      <c r="T833"/>
    </row>
    <row r="834" spans="1:20" x14ac:dyDescent="0.25">
      <c r="A8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4" t="str">
        <f>SUBSTITUTE(SUBSTITUTE(tabSource[[#This Row],[ID]],"&lt;",""),"&gt;","")</f>
        <v>63429C</v>
      </c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</row>
    <row r="835" spans="1:20" x14ac:dyDescent="0.25">
      <c r="A8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5" t="str">
        <f>SUBSTITUTE(SUBSTITUTE(tabSource[[#This Row],[ID]],"&lt;",""),"&gt;","")</f>
        <v>63429S</v>
      </c>
      <c r="D835"/>
      <c r="E835"/>
      <c r="F835"/>
      <c r="G835"/>
      <c r="I835"/>
      <c r="J835"/>
      <c r="K835"/>
      <c r="L835"/>
      <c r="M835"/>
      <c r="O835"/>
      <c r="P835"/>
      <c r="Q835"/>
      <c r="R835"/>
      <c r="S835"/>
      <c r="T835"/>
    </row>
    <row r="836" spans="1:20" x14ac:dyDescent="0.25">
      <c r="A8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6" t="str">
        <f>SUBSTITUTE(SUBSTITUTE(tabSource[[#This Row],[ID]],"&lt;",""),"&gt;","")</f>
        <v>63432</v>
      </c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</row>
    <row r="837" spans="1:20" x14ac:dyDescent="0.25">
      <c r="A8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7" t="str">
        <f>SUBSTITUTE(SUBSTITUTE(tabSource[[#This Row],[ID]],"&lt;",""),"&gt;","")</f>
        <v>63432S</v>
      </c>
      <c r="D837"/>
      <c r="E837"/>
      <c r="F837"/>
      <c r="G837"/>
      <c r="I837"/>
      <c r="J837"/>
      <c r="K837"/>
      <c r="L837"/>
      <c r="M837"/>
      <c r="O837"/>
      <c r="P837"/>
      <c r="Q837"/>
      <c r="R837"/>
      <c r="S837"/>
      <c r="T837"/>
    </row>
    <row r="838" spans="1:20" x14ac:dyDescent="0.25">
      <c r="A8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8" t="str">
        <f>SUBSTITUTE(SUBSTITUTE(tabSource[[#This Row],[ID]],"&lt;",""),"&gt;","")</f>
        <v>63436</v>
      </c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</row>
    <row r="839" spans="1:20" x14ac:dyDescent="0.25">
      <c r="A8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39" t="str">
        <f>SUBSTITUTE(SUBSTITUTE(tabSource[[#This Row],[ID]],"&lt;",""),"&gt;","")</f>
        <v>63436S</v>
      </c>
      <c r="D839"/>
      <c r="E839"/>
      <c r="F839"/>
      <c r="G839"/>
      <c r="I839"/>
      <c r="J839"/>
      <c r="K839"/>
      <c r="L839"/>
      <c r="M839"/>
      <c r="O839"/>
      <c r="P839"/>
      <c r="Q839"/>
      <c r="R839"/>
      <c r="S839"/>
      <c r="T839"/>
    </row>
    <row r="840" spans="1:20" x14ac:dyDescent="0.25">
      <c r="A8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0" t="str">
        <f>SUBSTITUTE(SUBSTITUTE(tabSource[[#This Row],[ID]],"&lt;",""),"&gt;","")</f>
        <v>63438</v>
      </c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</row>
    <row r="841" spans="1:20" x14ac:dyDescent="0.25">
      <c r="A8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1" t="str">
        <f>SUBSTITUTE(SUBSTITUTE(tabSource[[#This Row],[ID]],"&lt;",""),"&gt;","")</f>
        <v>63438S</v>
      </c>
      <c r="D841"/>
      <c r="E841"/>
      <c r="F841"/>
      <c r="G841"/>
      <c r="I841"/>
      <c r="J841"/>
      <c r="K841"/>
      <c r="L841"/>
      <c r="M841"/>
      <c r="O841"/>
      <c r="P841"/>
      <c r="Q841"/>
      <c r="R841"/>
      <c r="S841"/>
      <c r="T841"/>
    </row>
    <row r="842" spans="1:20" x14ac:dyDescent="0.25">
      <c r="A8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2" t="str">
        <f>SUBSTITUTE(SUBSTITUTE(tabSource[[#This Row],[ID]],"&lt;",""),"&gt;","")</f>
        <v>63439</v>
      </c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</row>
    <row r="843" spans="1:20" x14ac:dyDescent="0.25">
      <c r="A8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3" t="str">
        <f>SUBSTITUTE(SUBSTITUTE(tabSource[[#This Row],[ID]],"&lt;",""),"&gt;","")</f>
        <v>63439S</v>
      </c>
      <c r="D843"/>
      <c r="E843"/>
      <c r="F843"/>
      <c r="G843"/>
      <c r="I843"/>
      <c r="J843"/>
      <c r="K843"/>
      <c r="L843"/>
      <c r="M843"/>
      <c r="O843"/>
      <c r="P843"/>
      <c r="Q843"/>
      <c r="R843"/>
      <c r="S843"/>
      <c r="T843"/>
    </row>
    <row r="844" spans="1:20" x14ac:dyDescent="0.25">
      <c r="A8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4" t="str">
        <f>SUBSTITUTE(SUBSTITUTE(tabSource[[#This Row],[ID]],"&lt;",""),"&gt;","")</f>
        <v>63460C</v>
      </c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</row>
    <row r="845" spans="1:20" x14ac:dyDescent="0.25">
      <c r="A8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5" t="str">
        <f>SUBSTITUTE(SUBSTITUTE(tabSource[[#This Row],[ID]],"&lt;",""),"&gt;","")</f>
        <v>63460C-V4A</v>
      </c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</row>
    <row r="846" spans="1:20" x14ac:dyDescent="0.25">
      <c r="A8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6" t="str">
        <f>SUBSTITUTE(SUBSTITUTE(tabSource[[#This Row],[ID]],"&lt;",""),"&gt;","")</f>
        <v>63460C-V4A-P</v>
      </c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</row>
    <row r="847" spans="1:20" x14ac:dyDescent="0.25">
      <c r="A8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7" t="str">
        <f>SUBSTITUTE(SUBSTITUTE(tabSource[[#This Row],[ID]],"&lt;",""),"&gt;","")</f>
        <v>63460S</v>
      </c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</row>
    <row r="848" spans="1:20" x14ac:dyDescent="0.25">
      <c r="A8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8" t="str">
        <f>SUBSTITUTE(SUBSTITUTE(tabSource[[#This Row],[ID]],"&lt;",""),"&gt;","")</f>
        <v>63461C</v>
      </c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</row>
    <row r="849" spans="1:20" x14ac:dyDescent="0.25">
      <c r="A8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49" t="str">
        <f>SUBSTITUTE(SUBSTITUTE(tabSource[[#This Row],[ID]],"&lt;",""),"&gt;","")</f>
        <v>63461C-V4A</v>
      </c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</row>
    <row r="850" spans="1:20" x14ac:dyDescent="0.25">
      <c r="A8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0" t="str">
        <f>SUBSTITUTE(SUBSTITUTE(tabSource[[#This Row],[ID]],"&lt;",""),"&gt;","")</f>
        <v>63461C-V4A-P</v>
      </c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</row>
    <row r="851" spans="1:20" x14ac:dyDescent="0.25">
      <c r="A8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1" t="str">
        <f>SUBSTITUTE(SUBSTITUTE(tabSource[[#This Row],[ID]],"&lt;",""),"&gt;","")</f>
        <v>63461S</v>
      </c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</row>
    <row r="852" spans="1:20" x14ac:dyDescent="0.25">
      <c r="A8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2" t="str">
        <f>SUBSTITUTE(SUBSTITUTE(tabSource[[#This Row],[ID]],"&lt;",""),"&gt;","")</f>
        <v>63462C</v>
      </c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</row>
    <row r="853" spans="1:20" x14ac:dyDescent="0.25">
      <c r="A8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3" t="str">
        <f>SUBSTITUTE(SUBSTITUTE(tabSource[[#This Row],[ID]],"&lt;",""),"&gt;","")</f>
        <v>63462S</v>
      </c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</row>
    <row r="854" spans="1:20" x14ac:dyDescent="0.25">
      <c r="A8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4" t="str">
        <f>SUBSTITUTE(SUBSTITUTE(tabSource[[#This Row],[ID]],"&lt;",""),"&gt;","")</f>
        <v>63463C</v>
      </c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</row>
    <row r="855" spans="1:20" x14ac:dyDescent="0.25">
      <c r="A8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5" t="str">
        <f>SUBSTITUTE(SUBSTITUTE(tabSource[[#This Row],[ID]],"&lt;",""),"&gt;","")</f>
        <v>63463S</v>
      </c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</row>
    <row r="856" spans="1:20" x14ac:dyDescent="0.25">
      <c r="A8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6" t="str">
        <f>SUBSTITUTE(SUBSTITUTE(tabSource[[#This Row],[ID]],"&lt;",""),"&gt;","")</f>
        <v>63464C</v>
      </c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</row>
    <row r="857" spans="1:20" x14ac:dyDescent="0.25">
      <c r="A8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7" t="str">
        <f>SUBSTITUTE(SUBSTITUTE(tabSource[[#This Row],[ID]],"&lt;",""),"&gt;","")</f>
        <v>63464S</v>
      </c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</row>
    <row r="858" spans="1:20" x14ac:dyDescent="0.25">
      <c r="A8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8" t="str">
        <f>SUBSTITUTE(SUBSTITUTE(tabSource[[#This Row],[ID]],"&lt;",""),"&gt;","")</f>
        <v>63465C</v>
      </c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</row>
    <row r="859" spans="1:20" x14ac:dyDescent="0.25">
      <c r="A8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59" t="str">
        <f>SUBSTITUTE(SUBSTITUTE(tabSource[[#This Row],[ID]],"&lt;",""),"&gt;","")</f>
        <v>63465S</v>
      </c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</row>
    <row r="860" spans="1:20" x14ac:dyDescent="0.25">
      <c r="A8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0" t="str">
        <f>SUBSTITUTE(SUBSTITUTE(tabSource[[#This Row],[ID]],"&lt;",""),"&gt;","")</f>
        <v>63466C</v>
      </c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</row>
    <row r="861" spans="1:20" x14ac:dyDescent="0.25">
      <c r="A8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1" t="str">
        <f>SUBSTITUTE(SUBSTITUTE(tabSource[[#This Row],[ID]],"&lt;",""),"&gt;","")</f>
        <v>63466S</v>
      </c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</row>
    <row r="862" spans="1:20" x14ac:dyDescent="0.25">
      <c r="A8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2" t="str">
        <f>SUBSTITUTE(SUBSTITUTE(tabSource[[#This Row],[ID]],"&lt;",""),"&gt;","")</f>
        <v>63467C</v>
      </c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</row>
    <row r="863" spans="1:20" x14ac:dyDescent="0.25">
      <c r="A8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3" t="str">
        <f>SUBSTITUTE(SUBSTITUTE(tabSource[[#This Row],[ID]],"&lt;",""),"&gt;","")</f>
        <v>63467S</v>
      </c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</row>
    <row r="864" spans="1:20" x14ac:dyDescent="0.25">
      <c r="A8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4" t="str">
        <f>SUBSTITUTE(SUBSTITUTE(tabSource[[#This Row],[ID]],"&lt;",""),"&gt;","")</f>
        <v>63470C</v>
      </c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</row>
    <row r="865" spans="1:20" x14ac:dyDescent="0.25">
      <c r="A8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5" t="str">
        <f>SUBSTITUTE(SUBSTITUTE(tabSource[[#This Row],[ID]],"&lt;",""),"&gt;","")</f>
        <v>63470S</v>
      </c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</row>
    <row r="866" spans="1:20" x14ac:dyDescent="0.25">
      <c r="A8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6" t="str">
        <f>SUBSTITUTE(SUBSTITUTE(tabSource[[#This Row],[ID]],"&lt;",""),"&gt;","")</f>
        <v>63471C</v>
      </c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</row>
    <row r="867" spans="1:20" x14ac:dyDescent="0.25">
      <c r="A8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7" t="str">
        <f>SUBSTITUTE(SUBSTITUTE(tabSource[[#This Row],[ID]],"&lt;",""),"&gt;","")</f>
        <v>63471S</v>
      </c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</row>
    <row r="868" spans="1:20" x14ac:dyDescent="0.25">
      <c r="A8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8" t="str">
        <f>SUBSTITUTE(SUBSTITUTE(tabSource[[#This Row],[ID]],"&lt;",""),"&gt;","")</f>
        <v>63472C</v>
      </c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</row>
    <row r="869" spans="1:20" x14ac:dyDescent="0.25">
      <c r="A8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69" t="str">
        <f>SUBSTITUTE(SUBSTITUTE(tabSource[[#This Row],[ID]],"&lt;",""),"&gt;","")</f>
        <v>63472C-V4A</v>
      </c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</row>
    <row r="870" spans="1:20" x14ac:dyDescent="0.25">
      <c r="A8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0" t="str">
        <f>SUBSTITUTE(SUBSTITUTE(tabSource[[#This Row],[ID]],"&lt;",""),"&gt;","")</f>
        <v>63472C-V4A-P</v>
      </c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</row>
    <row r="871" spans="1:20" x14ac:dyDescent="0.25">
      <c r="A8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1" t="str">
        <f>SUBSTITUTE(SUBSTITUTE(tabSource[[#This Row],[ID]],"&lt;",""),"&gt;","")</f>
        <v>63472S</v>
      </c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</row>
    <row r="872" spans="1:20" x14ac:dyDescent="0.25">
      <c r="A8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2" t="str">
        <f>SUBSTITUTE(SUBSTITUTE(tabSource[[#This Row],[ID]],"&lt;",""),"&gt;","")</f>
        <v>63473C</v>
      </c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</row>
    <row r="873" spans="1:20" x14ac:dyDescent="0.25">
      <c r="A8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3" t="str">
        <f>SUBSTITUTE(SUBSTITUTE(tabSource[[#This Row],[ID]],"&lt;",""),"&gt;","")</f>
        <v>63473C-V4A</v>
      </c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</row>
    <row r="874" spans="1:20" x14ac:dyDescent="0.25">
      <c r="A8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4" t="str">
        <f>SUBSTITUTE(SUBSTITUTE(tabSource[[#This Row],[ID]],"&lt;",""),"&gt;","")</f>
        <v>63473C-V4A-P</v>
      </c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</row>
    <row r="875" spans="1:20" x14ac:dyDescent="0.25">
      <c r="A8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5" t="str">
        <f>SUBSTITUTE(SUBSTITUTE(tabSource[[#This Row],[ID]],"&lt;",""),"&gt;","")</f>
        <v>63473S</v>
      </c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</row>
    <row r="876" spans="1:20" x14ac:dyDescent="0.25">
      <c r="A8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6" t="str">
        <f>SUBSTITUTE(SUBSTITUTE(tabSource[[#This Row],[ID]],"&lt;",""),"&gt;","")</f>
        <v>63474C</v>
      </c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</row>
    <row r="877" spans="1:20" x14ac:dyDescent="0.25">
      <c r="A8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7" t="str">
        <f>SUBSTITUTE(SUBSTITUTE(tabSource[[#This Row],[ID]],"&lt;",""),"&gt;","")</f>
        <v>63474S</v>
      </c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</row>
    <row r="878" spans="1:20" x14ac:dyDescent="0.25">
      <c r="A8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8" t="str">
        <f>SUBSTITUTE(SUBSTITUTE(tabSource[[#This Row],[ID]],"&lt;",""),"&gt;","")</f>
        <v>63475C</v>
      </c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</row>
    <row r="879" spans="1:20" x14ac:dyDescent="0.25">
      <c r="A8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79" t="str">
        <f>SUBSTITUTE(SUBSTITUTE(tabSource[[#This Row],[ID]],"&lt;",""),"&gt;","")</f>
        <v>63475S</v>
      </c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</row>
    <row r="880" spans="1:20" x14ac:dyDescent="0.25">
      <c r="A8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0" t="str">
        <f>SUBSTITUTE(SUBSTITUTE(tabSource[[#This Row],[ID]],"&lt;",""),"&gt;","")</f>
        <v>63476C</v>
      </c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</row>
    <row r="881" spans="1:20" x14ac:dyDescent="0.25">
      <c r="A8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1" t="str">
        <f>SUBSTITUTE(SUBSTITUTE(tabSource[[#This Row],[ID]],"&lt;",""),"&gt;","")</f>
        <v>63476C-V4A</v>
      </c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</row>
    <row r="882" spans="1:20" x14ac:dyDescent="0.25">
      <c r="A8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2" t="str">
        <f>SUBSTITUTE(SUBSTITUTE(tabSource[[#This Row],[ID]],"&lt;",""),"&gt;","")</f>
        <v>63476C-V4A-P</v>
      </c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</row>
    <row r="883" spans="1:20" x14ac:dyDescent="0.25">
      <c r="A8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3" t="str">
        <f>SUBSTITUTE(SUBSTITUTE(tabSource[[#This Row],[ID]],"&lt;",""),"&gt;","")</f>
        <v>63476S</v>
      </c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</row>
    <row r="884" spans="1:20" x14ac:dyDescent="0.25">
      <c r="A8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4" t="str">
        <f>SUBSTITUTE(SUBSTITUTE(tabSource[[#This Row],[ID]],"&lt;",""),"&gt;","")</f>
        <v>63477C</v>
      </c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</row>
    <row r="885" spans="1:20" x14ac:dyDescent="0.25">
      <c r="A8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5" t="str">
        <f>SUBSTITUTE(SUBSTITUTE(tabSource[[#This Row],[ID]],"&lt;",""),"&gt;","")</f>
        <v>63477C-V4A</v>
      </c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</row>
    <row r="886" spans="1:20" x14ac:dyDescent="0.25">
      <c r="A8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6" t="str">
        <f>SUBSTITUTE(SUBSTITUTE(tabSource[[#This Row],[ID]],"&lt;",""),"&gt;","")</f>
        <v>63477C-V4A-P</v>
      </c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</row>
    <row r="887" spans="1:20" x14ac:dyDescent="0.25">
      <c r="A8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7" t="str">
        <f>SUBSTITUTE(SUBSTITUTE(tabSource[[#This Row],[ID]],"&lt;",""),"&gt;","")</f>
        <v>63477S</v>
      </c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</row>
    <row r="888" spans="1:20" x14ac:dyDescent="0.25">
      <c r="A8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8" t="str">
        <f>SUBSTITUTE(SUBSTITUTE(tabSource[[#This Row],[ID]],"&lt;",""),"&gt;","")</f>
        <v>63480C</v>
      </c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</row>
    <row r="889" spans="1:20" x14ac:dyDescent="0.25">
      <c r="A8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89" t="str">
        <f>SUBSTITUTE(SUBSTITUTE(tabSource[[#This Row],[ID]],"&lt;",""),"&gt;","")</f>
        <v>63480S</v>
      </c>
      <c r="D889"/>
      <c r="E889"/>
      <c r="F889"/>
      <c r="G889"/>
      <c r="I889"/>
      <c r="J889"/>
      <c r="K889"/>
      <c r="L889"/>
      <c r="M889"/>
      <c r="O889"/>
      <c r="P889"/>
      <c r="Q889"/>
      <c r="R889"/>
      <c r="S889"/>
      <c r="T889"/>
    </row>
    <row r="890" spans="1:20" x14ac:dyDescent="0.25">
      <c r="A8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0" t="str">
        <f>SUBSTITUTE(SUBSTITUTE(tabSource[[#This Row],[ID]],"&lt;",""),"&gt;","")</f>
        <v>63481C</v>
      </c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</row>
    <row r="891" spans="1:20" x14ac:dyDescent="0.25">
      <c r="A8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1" t="str">
        <f>SUBSTITUTE(SUBSTITUTE(tabSource[[#This Row],[ID]],"&lt;",""),"&gt;","")</f>
        <v>63481S</v>
      </c>
      <c r="D891"/>
      <c r="E891"/>
      <c r="F891"/>
      <c r="G891"/>
      <c r="I891"/>
      <c r="J891"/>
      <c r="K891"/>
      <c r="L891"/>
      <c r="M891"/>
      <c r="O891"/>
      <c r="P891"/>
      <c r="Q891"/>
      <c r="R891"/>
      <c r="S891"/>
      <c r="T891"/>
    </row>
    <row r="892" spans="1:20" x14ac:dyDescent="0.25">
      <c r="A8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2" t="str">
        <f>SUBSTITUTE(SUBSTITUTE(tabSource[[#This Row],[ID]],"&lt;",""),"&gt;","")</f>
        <v>63482C</v>
      </c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</row>
    <row r="893" spans="1:20" x14ac:dyDescent="0.25">
      <c r="A8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3" t="str">
        <f>SUBSTITUTE(SUBSTITUTE(tabSource[[#This Row],[ID]],"&lt;",""),"&gt;","")</f>
        <v>63482S</v>
      </c>
      <c r="D893"/>
      <c r="E893"/>
      <c r="F893"/>
      <c r="G893"/>
      <c r="I893"/>
      <c r="J893"/>
      <c r="K893"/>
      <c r="L893"/>
      <c r="M893"/>
      <c r="O893"/>
      <c r="P893"/>
      <c r="Q893"/>
      <c r="R893"/>
      <c r="S893"/>
      <c r="T893"/>
    </row>
    <row r="894" spans="1:20" x14ac:dyDescent="0.25">
      <c r="A8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4" t="str">
        <f>SUBSTITUTE(SUBSTITUTE(tabSource[[#This Row],[ID]],"&lt;",""),"&gt;","")</f>
        <v>63483C</v>
      </c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</row>
    <row r="895" spans="1:20" x14ac:dyDescent="0.25">
      <c r="A8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5" t="str">
        <f>SUBSTITUTE(SUBSTITUTE(tabSource[[#This Row],[ID]],"&lt;",""),"&gt;","")</f>
        <v>63483S</v>
      </c>
      <c r="D895"/>
      <c r="E895"/>
      <c r="F895"/>
      <c r="G895"/>
      <c r="I895"/>
      <c r="J895"/>
      <c r="K895"/>
      <c r="L895"/>
      <c r="M895"/>
      <c r="O895"/>
      <c r="P895"/>
      <c r="Q895"/>
      <c r="R895"/>
      <c r="S895"/>
      <c r="T895"/>
    </row>
    <row r="896" spans="1:20" x14ac:dyDescent="0.25">
      <c r="A8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6" t="str">
        <f>SUBSTITUTE(SUBSTITUTE(tabSource[[#This Row],[ID]],"&lt;",""),"&gt;","")</f>
        <v>63484C</v>
      </c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</row>
    <row r="897" spans="1:20" x14ac:dyDescent="0.25">
      <c r="A8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7" t="str">
        <f>SUBSTITUTE(SUBSTITUTE(tabSource[[#This Row],[ID]],"&lt;",""),"&gt;","")</f>
        <v>63484S</v>
      </c>
      <c r="D897"/>
      <c r="E897"/>
      <c r="F897"/>
      <c r="G897"/>
      <c r="I897"/>
      <c r="J897"/>
      <c r="K897"/>
      <c r="L897"/>
      <c r="M897"/>
      <c r="O897"/>
      <c r="P897"/>
      <c r="Q897"/>
      <c r="R897"/>
      <c r="S897"/>
      <c r="T897"/>
    </row>
    <row r="898" spans="1:20" x14ac:dyDescent="0.25">
      <c r="A8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8" t="str">
        <f>SUBSTITUTE(SUBSTITUTE(tabSource[[#This Row],[ID]],"&lt;",""),"&gt;","")</f>
        <v>63485C</v>
      </c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</row>
    <row r="899" spans="1:20" x14ac:dyDescent="0.25">
      <c r="A8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8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899" t="str">
        <f>SUBSTITUTE(SUBSTITUTE(tabSource[[#This Row],[ID]],"&lt;",""),"&gt;","")</f>
        <v>63485S</v>
      </c>
      <c r="D899"/>
      <c r="E899"/>
      <c r="F899"/>
      <c r="G899"/>
      <c r="I899"/>
      <c r="J899"/>
      <c r="K899"/>
      <c r="L899"/>
      <c r="M899"/>
      <c r="O899"/>
      <c r="P899"/>
      <c r="Q899"/>
      <c r="R899"/>
      <c r="S899"/>
      <c r="T899"/>
    </row>
    <row r="900" spans="1:20" x14ac:dyDescent="0.25">
      <c r="A9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0" t="str">
        <f>SUBSTITUTE(SUBSTITUTE(tabSource[[#This Row],[ID]],"&lt;",""),"&gt;","")</f>
        <v>63486C</v>
      </c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</row>
    <row r="901" spans="1:20" x14ac:dyDescent="0.25">
      <c r="A9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1" t="str">
        <f>SUBSTITUTE(SUBSTITUTE(tabSource[[#This Row],[ID]],"&lt;",""),"&gt;","")</f>
        <v>63486S</v>
      </c>
      <c r="D901"/>
      <c r="E901"/>
      <c r="F901"/>
      <c r="G901"/>
      <c r="I901"/>
      <c r="J901"/>
      <c r="K901"/>
      <c r="L901"/>
      <c r="M901"/>
      <c r="O901"/>
      <c r="P901"/>
      <c r="Q901"/>
      <c r="R901"/>
      <c r="S901"/>
      <c r="T901"/>
    </row>
    <row r="902" spans="1:20" x14ac:dyDescent="0.25">
      <c r="A9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2" t="str">
        <f>SUBSTITUTE(SUBSTITUTE(tabSource[[#This Row],[ID]],"&lt;",""),"&gt;","")</f>
        <v>63487C</v>
      </c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</row>
    <row r="903" spans="1:20" x14ac:dyDescent="0.25">
      <c r="A9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3" t="str">
        <f>SUBSTITUTE(SUBSTITUTE(tabSource[[#This Row],[ID]],"&lt;",""),"&gt;","")</f>
        <v>63487S</v>
      </c>
      <c r="D903"/>
      <c r="E903"/>
      <c r="F903"/>
      <c r="G903"/>
      <c r="I903"/>
      <c r="J903"/>
      <c r="K903"/>
      <c r="L903"/>
      <c r="M903"/>
      <c r="O903"/>
      <c r="P903"/>
      <c r="Q903"/>
      <c r="R903"/>
      <c r="S903"/>
      <c r="T903"/>
    </row>
    <row r="904" spans="1:20" x14ac:dyDescent="0.25">
      <c r="A9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4" t="str">
        <f>SUBSTITUTE(SUBSTITUTE(tabSource[[#This Row],[ID]],"&lt;",""),"&gt;","")</f>
        <v>63490</v>
      </c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</row>
    <row r="905" spans="1:20" x14ac:dyDescent="0.25">
      <c r="A9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5" t="str">
        <f>SUBSTITUTE(SUBSTITUTE(tabSource[[#This Row],[ID]],"&lt;",""),"&gt;","")</f>
        <v>63490S</v>
      </c>
      <c r="D905"/>
      <c r="E905"/>
      <c r="F905"/>
      <c r="G905"/>
      <c r="I905"/>
      <c r="J905"/>
      <c r="K905"/>
      <c r="L905"/>
      <c r="M905"/>
      <c r="O905"/>
      <c r="P905"/>
      <c r="Q905"/>
      <c r="R905"/>
      <c r="S905"/>
      <c r="T905"/>
    </row>
    <row r="906" spans="1:20" x14ac:dyDescent="0.25">
      <c r="A9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6" t="str">
        <f>SUBSTITUTE(SUBSTITUTE(tabSource[[#This Row],[ID]],"&lt;",""),"&gt;","")</f>
        <v>63491</v>
      </c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</row>
    <row r="907" spans="1:20" x14ac:dyDescent="0.25">
      <c r="A9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7" t="str">
        <f>SUBSTITUTE(SUBSTITUTE(tabSource[[#This Row],[ID]],"&lt;",""),"&gt;","")</f>
        <v>63491S</v>
      </c>
      <c r="D907"/>
      <c r="E907"/>
      <c r="F907"/>
      <c r="G907"/>
      <c r="I907"/>
      <c r="J907"/>
      <c r="K907"/>
      <c r="L907"/>
      <c r="M907"/>
      <c r="O907"/>
      <c r="P907"/>
      <c r="Q907"/>
      <c r="R907"/>
      <c r="S907"/>
      <c r="T907"/>
    </row>
    <row r="908" spans="1:20" x14ac:dyDescent="0.25">
      <c r="A9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8" t="str">
        <f>SUBSTITUTE(SUBSTITUTE(tabSource[[#This Row],[ID]],"&lt;",""),"&gt;","")</f>
        <v>63492</v>
      </c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</row>
    <row r="909" spans="1:20" x14ac:dyDescent="0.25">
      <c r="A9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09" t="str">
        <f>SUBSTITUTE(SUBSTITUTE(tabSource[[#This Row],[ID]],"&lt;",""),"&gt;","")</f>
        <v>63492S</v>
      </c>
      <c r="D909"/>
      <c r="E909"/>
      <c r="F909"/>
      <c r="G909"/>
      <c r="I909"/>
      <c r="J909"/>
      <c r="K909"/>
      <c r="L909"/>
      <c r="M909"/>
      <c r="O909"/>
      <c r="P909"/>
      <c r="Q909"/>
      <c r="R909"/>
      <c r="S909"/>
      <c r="T909"/>
    </row>
    <row r="910" spans="1:20" x14ac:dyDescent="0.25">
      <c r="A9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0" t="str">
        <f>SUBSTITUTE(SUBSTITUTE(tabSource[[#This Row],[ID]],"&lt;",""),"&gt;","")</f>
        <v>63493</v>
      </c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</row>
    <row r="911" spans="1:20" x14ac:dyDescent="0.25">
      <c r="A9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1" t="str">
        <f>SUBSTITUTE(SUBSTITUTE(tabSource[[#This Row],[ID]],"&lt;",""),"&gt;","")</f>
        <v>63493S</v>
      </c>
      <c r="D911"/>
      <c r="E911"/>
      <c r="F911"/>
      <c r="G911"/>
      <c r="I911"/>
      <c r="J911"/>
      <c r="K911"/>
      <c r="L911"/>
      <c r="M911"/>
      <c r="O911"/>
      <c r="P911"/>
      <c r="Q911"/>
      <c r="R911"/>
      <c r="S911"/>
      <c r="T911"/>
    </row>
    <row r="912" spans="1:20" x14ac:dyDescent="0.25">
      <c r="A9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2" t="str">
        <f>SUBSTITUTE(SUBSTITUTE(tabSource[[#This Row],[ID]],"&lt;",""),"&gt;","")</f>
        <v>63494</v>
      </c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</row>
    <row r="913" spans="1:20" x14ac:dyDescent="0.25">
      <c r="A9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3" t="str">
        <f>SUBSTITUTE(SUBSTITUTE(tabSource[[#This Row],[ID]],"&lt;",""),"&gt;","")</f>
        <v>63494S</v>
      </c>
      <c r="D913"/>
      <c r="E913"/>
      <c r="F913"/>
      <c r="G913"/>
      <c r="I913"/>
      <c r="J913"/>
      <c r="K913"/>
      <c r="L913"/>
      <c r="M913"/>
      <c r="O913"/>
      <c r="P913"/>
      <c r="Q913"/>
      <c r="R913"/>
      <c r="S913"/>
      <c r="T913"/>
    </row>
    <row r="914" spans="1:20" x14ac:dyDescent="0.25">
      <c r="A9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4" t="str">
        <f>SUBSTITUTE(SUBSTITUTE(tabSource[[#This Row],[ID]],"&lt;",""),"&gt;","")</f>
        <v>63495</v>
      </c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</row>
    <row r="915" spans="1:20" x14ac:dyDescent="0.25">
      <c r="A9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5" t="str">
        <f>SUBSTITUTE(SUBSTITUTE(tabSource[[#This Row],[ID]],"&lt;",""),"&gt;","")</f>
        <v>63495S</v>
      </c>
      <c r="D915"/>
      <c r="E915"/>
      <c r="F915"/>
      <c r="G915"/>
      <c r="I915"/>
      <c r="J915"/>
      <c r="K915"/>
      <c r="L915"/>
      <c r="M915"/>
      <c r="O915"/>
      <c r="P915"/>
      <c r="Q915"/>
      <c r="R915"/>
      <c r="S915"/>
      <c r="T915"/>
    </row>
    <row r="916" spans="1:20" x14ac:dyDescent="0.25">
      <c r="A9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6" t="str">
        <f>SUBSTITUTE(SUBSTITUTE(tabSource[[#This Row],[ID]],"&lt;",""),"&gt;","")</f>
        <v>63496</v>
      </c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</row>
    <row r="917" spans="1:20" x14ac:dyDescent="0.25">
      <c r="A9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7" t="str">
        <f>SUBSTITUTE(SUBSTITUTE(tabSource[[#This Row],[ID]],"&lt;",""),"&gt;","")</f>
        <v>63496S</v>
      </c>
      <c r="D917"/>
      <c r="E917"/>
      <c r="F917"/>
      <c r="G917"/>
      <c r="I917"/>
      <c r="J917"/>
      <c r="K917"/>
      <c r="L917"/>
      <c r="M917"/>
      <c r="O917"/>
      <c r="P917"/>
      <c r="Q917"/>
      <c r="R917"/>
      <c r="S917"/>
      <c r="T917"/>
    </row>
    <row r="918" spans="1:20" x14ac:dyDescent="0.25">
      <c r="A9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8" t="str">
        <f>SUBSTITUTE(SUBSTITUTE(tabSource[[#This Row],[ID]],"&lt;",""),"&gt;","")</f>
        <v>63497</v>
      </c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</row>
    <row r="919" spans="1:20" x14ac:dyDescent="0.25">
      <c r="A9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19" t="str">
        <f>SUBSTITUTE(SUBSTITUTE(tabSource[[#This Row],[ID]],"&lt;",""),"&gt;","")</f>
        <v>63497S</v>
      </c>
      <c r="D919"/>
      <c r="E919"/>
      <c r="F919"/>
      <c r="G919"/>
      <c r="I919"/>
      <c r="J919"/>
      <c r="K919"/>
      <c r="L919"/>
      <c r="M919"/>
      <c r="O919"/>
      <c r="P919"/>
      <c r="Q919"/>
      <c r="R919"/>
      <c r="S919"/>
      <c r="T919"/>
    </row>
    <row r="920" spans="1:20" x14ac:dyDescent="0.25">
      <c r="A9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0" t="str">
        <f>SUBSTITUTE(SUBSTITUTE(tabSource[[#This Row],[ID]],"&lt;",""),"&gt;","")</f>
        <v>63513</v>
      </c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</row>
    <row r="921" spans="1:20" x14ac:dyDescent="0.25">
      <c r="A9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1" t="str">
        <f>SUBSTITUTE(SUBSTITUTE(tabSource[[#This Row],[ID]],"&lt;",""),"&gt;","")</f>
        <v>63516</v>
      </c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</row>
    <row r="922" spans="1:20" x14ac:dyDescent="0.25">
      <c r="A9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2" t="str">
        <f>SUBSTITUTE(SUBSTITUTE(tabSource[[#This Row],[ID]],"&lt;",""),"&gt;","")</f>
        <v>63518</v>
      </c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</row>
    <row r="923" spans="1:20" x14ac:dyDescent="0.25">
      <c r="A9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3" t="str">
        <f>SUBSTITUTE(SUBSTITUTE(tabSource[[#This Row],[ID]],"&lt;",""),"&gt;","")</f>
        <v>63521</v>
      </c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</row>
    <row r="924" spans="1:20" x14ac:dyDescent="0.25">
      <c r="A9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4" t="str">
        <f>SUBSTITUTE(SUBSTITUTE(tabSource[[#This Row],[ID]],"&lt;",""),"&gt;","")</f>
        <v>63521-V4A</v>
      </c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</row>
    <row r="925" spans="1:20" x14ac:dyDescent="0.25">
      <c r="A9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5" t="str">
        <f>SUBSTITUTE(SUBSTITUTE(tabSource[[#This Row],[ID]],"&lt;",""),"&gt;","")</f>
        <v>63521-V4A-P</v>
      </c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</row>
    <row r="926" spans="1:20" x14ac:dyDescent="0.25">
      <c r="A9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6" t="str">
        <f>SUBSTITUTE(SUBSTITUTE(tabSource[[#This Row],[ID]],"&lt;",""),"&gt;","")</f>
        <v>63522</v>
      </c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</row>
    <row r="927" spans="1:20" x14ac:dyDescent="0.25">
      <c r="A9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7" t="str">
        <f>SUBSTITUTE(SUBSTITUTE(tabSource[[#This Row],[ID]],"&lt;",""),"&gt;","")</f>
        <v>63523</v>
      </c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</row>
    <row r="928" spans="1:20" x14ac:dyDescent="0.25">
      <c r="A9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8" t="str">
        <f>SUBSTITUTE(SUBSTITUTE(tabSource[[#This Row],[ID]],"&lt;",""),"&gt;","")</f>
        <v>63526</v>
      </c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</row>
    <row r="929" spans="1:20" x14ac:dyDescent="0.25">
      <c r="A9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29" t="str">
        <f>SUBSTITUTE(SUBSTITUTE(tabSource[[#This Row],[ID]],"&lt;",""),"&gt;","")</f>
        <v>63526-V4A</v>
      </c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</row>
    <row r="930" spans="1:20" x14ac:dyDescent="0.25">
      <c r="A9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0" t="str">
        <f>SUBSTITUTE(SUBSTITUTE(tabSource[[#This Row],[ID]],"&lt;",""),"&gt;","")</f>
        <v>63526-V4A-P</v>
      </c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</row>
    <row r="931" spans="1:20" x14ac:dyDescent="0.25">
      <c r="A9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1" t="str">
        <f>SUBSTITUTE(SUBSTITUTE(tabSource[[#This Row],[ID]],"&lt;",""),"&gt;","")</f>
        <v>63528</v>
      </c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</row>
    <row r="932" spans="1:20" x14ac:dyDescent="0.25">
      <c r="A9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2" t="str">
        <f>SUBSTITUTE(SUBSTITUTE(tabSource[[#This Row],[ID]],"&lt;",""),"&gt;","")</f>
        <v>63540</v>
      </c>
      <c r="D932"/>
      <c r="E932"/>
      <c r="F932"/>
      <c r="G932"/>
      <c r="I932"/>
      <c r="J932"/>
      <c r="K932"/>
      <c r="L932"/>
      <c r="M932"/>
      <c r="N932"/>
      <c r="P932"/>
      <c r="Q932"/>
      <c r="R932"/>
      <c r="S932"/>
      <c r="T932"/>
    </row>
    <row r="933" spans="1:20" x14ac:dyDescent="0.25">
      <c r="A9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3" t="str">
        <f>SUBSTITUTE(SUBSTITUTE(tabSource[[#This Row],[ID]],"&lt;",""),"&gt;","")</f>
        <v>63541</v>
      </c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</row>
    <row r="934" spans="1:20" x14ac:dyDescent="0.25">
      <c r="A9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4" t="str">
        <f>SUBSTITUTE(SUBSTITUTE(tabSource[[#This Row],[ID]],"&lt;",""),"&gt;","")</f>
        <v>63552</v>
      </c>
      <c r="D934"/>
      <c r="E934"/>
      <c r="F934"/>
      <c r="G934"/>
      <c r="I934"/>
      <c r="J934"/>
      <c r="K934"/>
      <c r="L934"/>
      <c r="M934"/>
      <c r="O934"/>
      <c r="P934"/>
      <c r="Q934"/>
      <c r="R934"/>
      <c r="S934"/>
      <c r="T934"/>
    </row>
    <row r="935" spans="1:20" x14ac:dyDescent="0.25">
      <c r="A9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5" t="str">
        <f>SUBSTITUTE(SUBSTITUTE(tabSource[[#This Row],[ID]],"&lt;",""),"&gt;","")</f>
        <v>63556</v>
      </c>
      <c r="D935"/>
      <c r="E935"/>
      <c r="F935"/>
      <c r="G935"/>
      <c r="I935"/>
      <c r="J935"/>
      <c r="K935"/>
      <c r="L935"/>
      <c r="M935"/>
      <c r="O935"/>
      <c r="P935"/>
      <c r="Q935"/>
      <c r="R935"/>
      <c r="S935"/>
      <c r="T935"/>
    </row>
    <row r="936" spans="1:20" x14ac:dyDescent="0.25">
      <c r="A9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6" t="str">
        <f>SUBSTITUTE(SUBSTITUTE(tabSource[[#This Row],[ID]],"&lt;",""),"&gt;","")</f>
        <v>63562</v>
      </c>
      <c r="D936"/>
      <c r="E936"/>
      <c r="F936"/>
      <c r="G936"/>
      <c r="I936"/>
      <c r="J936"/>
      <c r="K936"/>
      <c r="L936"/>
      <c r="M936"/>
      <c r="O936"/>
      <c r="P936"/>
      <c r="Q936"/>
      <c r="R936"/>
      <c r="S936"/>
      <c r="T936"/>
    </row>
    <row r="937" spans="1:20" x14ac:dyDescent="0.25">
      <c r="A9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7" t="str">
        <f>SUBSTITUTE(SUBSTITUTE(tabSource[[#This Row],[ID]],"&lt;",""),"&gt;","")</f>
        <v>63566</v>
      </c>
      <c r="D937"/>
      <c r="E937"/>
      <c r="F937"/>
      <c r="G937"/>
      <c r="I937"/>
      <c r="J937"/>
      <c r="K937"/>
      <c r="L937"/>
      <c r="M937"/>
      <c r="O937"/>
      <c r="P937"/>
      <c r="Q937"/>
      <c r="R937"/>
      <c r="S937"/>
      <c r="T937"/>
    </row>
    <row r="938" spans="1:20" x14ac:dyDescent="0.25">
      <c r="A9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8" t="str">
        <f>SUBSTITUTE(SUBSTITUTE(tabSource[[#This Row],[ID]],"&lt;",""),"&gt;","")</f>
        <v>63570</v>
      </c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</row>
    <row r="939" spans="1:20" x14ac:dyDescent="0.25">
      <c r="A9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39" t="str">
        <f>SUBSTITUTE(SUBSTITUTE(tabSource[[#This Row],[ID]],"&lt;",""),"&gt;","")</f>
        <v>63570-V4A</v>
      </c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</row>
    <row r="940" spans="1:20" x14ac:dyDescent="0.25">
      <c r="A9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0" t="str">
        <f>SUBSTITUTE(SUBSTITUTE(tabSource[[#This Row],[ID]],"&lt;",""),"&gt;","")</f>
        <v>63570-V4A-P</v>
      </c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</row>
    <row r="941" spans="1:20" x14ac:dyDescent="0.25">
      <c r="A9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1" t="str">
        <f>SUBSTITUTE(SUBSTITUTE(tabSource[[#This Row],[ID]],"&lt;",""),"&gt;","")</f>
        <v>63572</v>
      </c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</row>
    <row r="942" spans="1:20" x14ac:dyDescent="0.25">
      <c r="A9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2" t="str">
        <f>SUBSTITUTE(SUBSTITUTE(tabSource[[#This Row],[ID]],"&lt;",""),"&gt;","")</f>
        <v>63572-V4A</v>
      </c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</row>
    <row r="943" spans="1:20" x14ac:dyDescent="0.25">
      <c r="A9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3" t="str">
        <f>SUBSTITUTE(SUBSTITUTE(tabSource[[#This Row],[ID]],"&lt;",""),"&gt;","")</f>
        <v>63572-V4A-P</v>
      </c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</row>
    <row r="944" spans="1:20" x14ac:dyDescent="0.25">
      <c r="A9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4" t="str">
        <f>SUBSTITUTE(SUBSTITUTE(tabSource[[#This Row],[ID]],"&lt;",""),"&gt;","")</f>
        <v>63573</v>
      </c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</row>
    <row r="945" spans="1:20" x14ac:dyDescent="0.25">
      <c r="A9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5" t="str">
        <f>SUBSTITUTE(SUBSTITUTE(tabSource[[#This Row],[ID]],"&lt;",""),"&gt;","")</f>
        <v>63573-V4A</v>
      </c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</row>
    <row r="946" spans="1:20" x14ac:dyDescent="0.25">
      <c r="A9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6" t="str">
        <f>SUBSTITUTE(SUBSTITUTE(tabSource[[#This Row],[ID]],"&lt;",""),"&gt;","")</f>
        <v>63573-V4A-P</v>
      </c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</row>
    <row r="947" spans="1:20" x14ac:dyDescent="0.25">
      <c r="A9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7" t="str">
        <f>SUBSTITUTE(SUBSTITUTE(tabSource[[#This Row],[ID]],"&lt;",""),"&gt;","")</f>
        <v>64090</v>
      </c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</row>
    <row r="948" spans="1:20" x14ac:dyDescent="0.25">
      <c r="A9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8" t="str">
        <f>SUBSTITUTE(SUBSTITUTE(tabSource[[#This Row],[ID]],"&lt;",""),"&gt;","")</f>
        <v>64092</v>
      </c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</row>
    <row r="949" spans="1:20" x14ac:dyDescent="0.25">
      <c r="A9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49" t="str">
        <f>SUBSTITUTE(SUBSTITUTE(tabSource[[#This Row],[ID]],"&lt;",""),"&gt;","")</f>
        <v>64093</v>
      </c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</row>
    <row r="950" spans="1:20" x14ac:dyDescent="0.25">
      <c r="A9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0" t="str">
        <f>SUBSTITUTE(SUBSTITUTE(tabSource[[#This Row],[ID]],"&lt;",""),"&gt;","")</f>
        <v>64094</v>
      </c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</row>
    <row r="951" spans="1:20" x14ac:dyDescent="0.25">
      <c r="A9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1" t="str">
        <f>SUBSTITUTE(SUBSTITUTE(tabSource[[#This Row],[ID]],"&lt;",""),"&gt;","")</f>
        <v>64095</v>
      </c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</row>
    <row r="952" spans="1:20" x14ac:dyDescent="0.25">
      <c r="A9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2" t="str">
        <f>SUBSTITUTE(SUBSTITUTE(tabSource[[#This Row],[ID]],"&lt;",""),"&gt;","")</f>
        <v>64096</v>
      </c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</row>
    <row r="953" spans="1:20" x14ac:dyDescent="0.25">
      <c r="A9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3" t="str">
        <f>SUBSTITUTE(SUBSTITUTE(tabSource[[#This Row],[ID]],"&lt;",""),"&gt;","")</f>
        <v>64098</v>
      </c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</row>
    <row r="954" spans="1:20" x14ac:dyDescent="0.25">
      <c r="A9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4" t="str">
        <f>SUBSTITUTE(SUBSTITUTE(tabSource[[#This Row],[ID]],"&lt;",""),"&gt;","")</f>
        <v>64121</v>
      </c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</row>
    <row r="955" spans="1:20" x14ac:dyDescent="0.25">
      <c r="A9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5" t="str">
        <f>SUBSTITUTE(SUBSTITUTE(tabSource[[#This Row],[ID]],"&lt;",""),"&gt;","")</f>
        <v>64126</v>
      </c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</row>
    <row r="956" spans="1:20" x14ac:dyDescent="0.25">
      <c r="A9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6" t="str">
        <f>SUBSTITUTE(SUBSTITUTE(tabSource[[#This Row],[ID]],"&lt;",""),"&gt;","")</f>
        <v>64133</v>
      </c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</row>
    <row r="957" spans="1:20" x14ac:dyDescent="0.25">
      <c r="A9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7" t="str">
        <f>SUBSTITUTE(SUBSTITUTE(tabSource[[#This Row],[ID]],"&lt;",""),"&gt;","")</f>
        <v>64142</v>
      </c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</row>
    <row r="958" spans="1:20" x14ac:dyDescent="0.25">
      <c r="A9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8" t="str">
        <f>SUBSTITUTE(SUBSTITUTE(tabSource[[#This Row],[ID]],"&lt;",""),"&gt;","")</f>
        <v>64142-V4A</v>
      </c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</row>
    <row r="959" spans="1:20" x14ac:dyDescent="0.25">
      <c r="A9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59" t="str">
        <f>SUBSTITUTE(SUBSTITUTE(tabSource[[#This Row],[ID]],"&lt;",""),"&gt;","")</f>
        <v>64148</v>
      </c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</row>
    <row r="960" spans="1:20" x14ac:dyDescent="0.25">
      <c r="A9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0" t="str">
        <f>SUBSTITUTE(SUBSTITUTE(tabSource[[#This Row],[ID]],"&lt;",""),"&gt;","")</f>
        <v>64148-V4A</v>
      </c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</row>
    <row r="961" spans="1:20" x14ac:dyDescent="0.25">
      <c r="A9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1" t="str">
        <f>SUBSTITUTE(SUBSTITUTE(tabSource[[#This Row],[ID]],"&lt;",""),"&gt;","")</f>
        <v>64152</v>
      </c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</row>
    <row r="962" spans="1:20" x14ac:dyDescent="0.25">
      <c r="A9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2" t="str">
        <f>SUBSTITUTE(SUBSTITUTE(tabSource[[#This Row],[ID]],"&lt;",""),"&gt;","")</f>
        <v>64160</v>
      </c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</row>
    <row r="963" spans="1:20" x14ac:dyDescent="0.25">
      <c r="A9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3" t="str">
        <f>SUBSTITUTE(SUBSTITUTE(tabSource[[#This Row],[ID]],"&lt;",""),"&gt;","")</f>
        <v>64233</v>
      </c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</row>
    <row r="964" spans="1:20" x14ac:dyDescent="0.25">
      <c r="A9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4" t="str">
        <f>SUBSTITUTE(SUBSTITUTE(tabSource[[#This Row],[ID]],"&lt;",""),"&gt;","")</f>
        <v>64235</v>
      </c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</row>
    <row r="965" spans="1:20" x14ac:dyDescent="0.25">
      <c r="A9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5" t="str">
        <f>SUBSTITUTE(SUBSTITUTE(tabSource[[#This Row],[ID]],"&lt;",""),"&gt;","")</f>
        <v>64240</v>
      </c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</row>
    <row r="966" spans="1:20" x14ac:dyDescent="0.25">
      <c r="A9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6" t="str">
        <f>SUBSTITUTE(SUBSTITUTE(tabSource[[#This Row],[ID]],"&lt;",""),"&gt;","")</f>
        <v>64242</v>
      </c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</row>
    <row r="967" spans="1:20" x14ac:dyDescent="0.25">
      <c r="A9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7" t="str">
        <f>SUBSTITUTE(SUBSTITUTE(tabSource[[#This Row],[ID]],"&lt;",""),"&gt;","")</f>
        <v>64242-V4A</v>
      </c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</row>
    <row r="968" spans="1:20" x14ac:dyDescent="0.25">
      <c r="A9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8" t="str">
        <f>SUBSTITUTE(SUBSTITUTE(tabSource[[#This Row],[ID]],"&lt;",""),"&gt;","")</f>
        <v>64245</v>
      </c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</row>
    <row r="969" spans="1:20" x14ac:dyDescent="0.25">
      <c r="A9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69" t="str">
        <f>SUBSTITUTE(SUBSTITUTE(tabSource[[#This Row],[ID]],"&lt;",""),"&gt;","")</f>
        <v>64248</v>
      </c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</row>
    <row r="970" spans="1:20" x14ac:dyDescent="0.25">
      <c r="A9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0" t="str">
        <f>SUBSTITUTE(SUBSTITUTE(tabSource[[#This Row],[ID]],"&lt;",""),"&gt;","")</f>
        <v>64248-V4A</v>
      </c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</row>
    <row r="971" spans="1:20" x14ac:dyDescent="0.25">
      <c r="A9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1" t="str">
        <f>SUBSTITUTE(SUBSTITUTE(tabSource[[#This Row],[ID]],"&lt;",""),"&gt;","")</f>
        <v>64250</v>
      </c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</row>
    <row r="972" spans="1:20" x14ac:dyDescent="0.25">
      <c r="A9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2" t="str">
        <f>SUBSTITUTE(SUBSTITUTE(tabSource[[#This Row],[ID]],"&lt;",""),"&gt;","")</f>
        <v>64252</v>
      </c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</row>
    <row r="973" spans="1:20" x14ac:dyDescent="0.25">
      <c r="A9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3" t="str">
        <f>SUBSTITUTE(SUBSTITUTE(tabSource[[#This Row],[ID]],"&lt;",""),"&gt;","")</f>
        <v>64260</v>
      </c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</row>
    <row r="974" spans="1:20" x14ac:dyDescent="0.25">
      <c r="A9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4" t="str">
        <f>SUBSTITUTE(SUBSTITUTE(tabSource[[#This Row],[ID]],"&lt;",""),"&gt;","")</f>
        <v>64269</v>
      </c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</row>
    <row r="975" spans="1:20" x14ac:dyDescent="0.25">
      <c r="A9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5" t="str">
        <f>SUBSTITUTE(SUBSTITUTE(tabSource[[#This Row],[ID]],"&lt;",""),"&gt;","")</f>
        <v>64269-R</v>
      </c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</row>
    <row r="976" spans="1:20" x14ac:dyDescent="0.25">
      <c r="A9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6" t="str">
        <f>SUBSTITUTE(SUBSTITUTE(tabSource[[#This Row],[ID]],"&lt;",""),"&gt;","")</f>
        <v>64270</v>
      </c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</row>
    <row r="977" spans="1:20" x14ac:dyDescent="0.25">
      <c r="A9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7" t="str">
        <f>SUBSTITUTE(SUBSTITUTE(tabSource[[#This Row],[ID]],"&lt;",""),"&gt;","")</f>
        <v>64279</v>
      </c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</row>
    <row r="978" spans="1:20" x14ac:dyDescent="0.25">
      <c r="A9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8" t="str">
        <f>SUBSTITUTE(SUBSTITUTE(tabSource[[#This Row],[ID]],"&lt;",""),"&gt;","")</f>
        <v>64280</v>
      </c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</row>
    <row r="979" spans="1:20" x14ac:dyDescent="0.25">
      <c r="A9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79" t="str">
        <f>SUBSTITUTE(SUBSTITUTE(tabSource[[#This Row],[ID]],"&lt;",""),"&gt;","")</f>
        <v>64280-R</v>
      </c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</row>
    <row r="980" spans="1:20" x14ac:dyDescent="0.25">
      <c r="A9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0" t="str">
        <f>SUBSTITUTE(SUBSTITUTE(tabSource[[#This Row],[ID]],"&lt;",""),"&gt;","")</f>
        <v>64281</v>
      </c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</row>
    <row r="981" spans="1:20" x14ac:dyDescent="0.25">
      <c r="A9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1" t="str">
        <f>SUBSTITUTE(SUBSTITUTE(tabSource[[#This Row],[ID]],"&lt;",""),"&gt;","")</f>
        <v>64284</v>
      </c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</row>
    <row r="982" spans="1:20" x14ac:dyDescent="0.25">
      <c r="A9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2" t="str">
        <f>SUBSTITUTE(SUBSTITUTE(tabSource[[#This Row],[ID]],"&lt;",""),"&gt;","")</f>
        <v>64285</v>
      </c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</row>
    <row r="983" spans="1:20" x14ac:dyDescent="0.25">
      <c r="A9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3" t="str">
        <f>SUBSTITUTE(SUBSTITUTE(tabSource[[#This Row],[ID]],"&lt;",""),"&gt;","")</f>
        <v>64290</v>
      </c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</row>
    <row r="984" spans="1:20" x14ac:dyDescent="0.25">
      <c r="A9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4" t="str">
        <f>SUBSTITUTE(SUBSTITUTE(tabSource[[#This Row],[ID]],"&lt;",""),"&gt;","")</f>
        <v>64290-R</v>
      </c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</row>
    <row r="985" spans="1:20" x14ac:dyDescent="0.25">
      <c r="A9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5" t="str">
        <f>SUBSTITUTE(SUBSTITUTE(tabSource[[#This Row],[ID]],"&lt;",""),"&gt;","")</f>
        <v>64290-V4A</v>
      </c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</row>
    <row r="986" spans="1:20" x14ac:dyDescent="0.25">
      <c r="A9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6" t="str">
        <f>SUBSTITUTE(SUBSTITUTE(tabSource[[#This Row],[ID]],"&lt;",""),"&gt;","")</f>
        <v>64291</v>
      </c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</row>
    <row r="987" spans="1:20" x14ac:dyDescent="0.25">
      <c r="A9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7" t="str">
        <f>SUBSTITUTE(SUBSTITUTE(tabSource[[#This Row],[ID]],"&lt;",""),"&gt;","")</f>
        <v>64291-V4A</v>
      </c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</row>
    <row r="988" spans="1:20" x14ac:dyDescent="0.25">
      <c r="A9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8" t="str">
        <f>SUBSTITUTE(SUBSTITUTE(tabSource[[#This Row],[ID]],"&lt;",""),"&gt;","")</f>
        <v>64292</v>
      </c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</row>
    <row r="989" spans="1:20" x14ac:dyDescent="0.25">
      <c r="A9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89" t="str">
        <f>SUBSTITUTE(SUBSTITUTE(tabSource[[#This Row],[ID]],"&lt;",""),"&gt;","")</f>
        <v>64292-R</v>
      </c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</row>
    <row r="990" spans="1:20" x14ac:dyDescent="0.25">
      <c r="A9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0" t="str">
        <f>SUBSTITUTE(SUBSTITUTE(tabSource[[#This Row],[ID]],"&lt;",""),"&gt;","")</f>
        <v>64293</v>
      </c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</row>
    <row r="991" spans="1:20" x14ac:dyDescent="0.25">
      <c r="A9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1" t="str">
        <f>SUBSTITUTE(SUBSTITUTE(tabSource[[#This Row],[ID]],"&lt;",""),"&gt;","")</f>
        <v>64294</v>
      </c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</row>
    <row r="992" spans="1:20" x14ac:dyDescent="0.25">
      <c r="A9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2" t="str">
        <f>SUBSTITUTE(SUBSTITUTE(tabSource[[#This Row],[ID]],"&lt;",""),"&gt;","")</f>
        <v>64295</v>
      </c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</row>
    <row r="993" spans="1:20" x14ac:dyDescent="0.25">
      <c r="A9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3" t="str">
        <f>SUBSTITUTE(SUBSTITUTE(tabSource[[#This Row],[ID]],"&lt;",""),"&gt;","")</f>
        <v>64296</v>
      </c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</row>
    <row r="994" spans="1:20" x14ac:dyDescent="0.25">
      <c r="A9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4" t="str">
        <f>SUBSTITUTE(SUBSTITUTE(tabSource[[#This Row],[ID]],"&lt;",""),"&gt;","")</f>
        <v>64297</v>
      </c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</row>
    <row r="995" spans="1:20" x14ac:dyDescent="0.25">
      <c r="A9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5" t="str">
        <f>SUBSTITUTE(SUBSTITUTE(tabSource[[#This Row],[ID]],"&lt;",""),"&gt;","")</f>
        <v>64298</v>
      </c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</row>
    <row r="996" spans="1:20" x14ac:dyDescent="0.25">
      <c r="A9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6" t="str">
        <f>SUBSTITUTE(SUBSTITUTE(tabSource[[#This Row],[ID]],"&lt;",""),"&gt;","")</f>
        <v>64303</v>
      </c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</row>
    <row r="997" spans="1:20" x14ac:dyDescent="0.25">
      <c r="A9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7" t="str">
        <f>SUBSTITUTE(SUBSTITUTE(tabSource[[#This Row],[ID]],"&lt;",""),"&gt;","")</f>
        <v>64303</v>
      </c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</row>
    <row r="998" spans="1:20" x14ac:dyDescent="0.25">
      <c r="A9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8" t="str">
        <f>SUBSTITUTE(SUBSTITUTE(tabSource[[#This Row],[ID]],"&lt;",""),"&gt;","")</f>
        <v>64304</v>
      </c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</row>
    <row r="999" spans="1:20" x14ac:dyDescent="0.25">
      <c r="A9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9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999" t="str">
        <f>SUBSTITUTE(SUBSTITUTE(tabSource[[#This Row],[ID]],"&lt;",""),"&gt;","")</f>
        <v>64304</v>
      </c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</row>
    <row r="1000" spans="1:20" x14ac:dyDescent="0.25">
      <c r="A10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0" t="str">
        <f>SUBSTITUTE(SUBSTITUTE(tabSource[[#This Row],[ID]],"&lt;",""),"&gt;","")</f>
        <v>64305</v>
      </c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</row>
    <row r="1001" spans="1:20" x14ac:dyDescent="0.25">
      <c r="A10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1" t="str">
        <f>SUBSTITUTE(SUBSTITUTE(tabSource[[#This Row],[ID]],"&lt;",""),"&gt;","")</f>
        <v>64305</v>
      </c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</row>
    <row r="1002" spans="1:20" x14ac:dyDescent="0.25">
      <c r="A10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2" t="str">
        <f>SUBSTITUTE(SUBSTITUTE(tabSource[[#This Row],[ID]],"&lt;",""),"&gt;","")</f>
        <v>64306</v>
      </c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</row>
    <row r="1003" spans="1:20" x14ac:dyDescent="0.25">
      <c r="A10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3" t="str">
        <f>SUBSTITUTE(SUBSTITUTE(tabSource[[#This Row],[ID]],"&lt;",""),"&gt;","")</f>
        <v>64306</v>
      </c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</row>
    <row r="1004" spans="1:20" x14ac:dyDescent="0.25">
      <c r="A10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4" t="str">
        <f>SUBSTITUTE(SUBSTITUTE(tabSource[[#This Row],[ID]],"&lt;",""),"&gt;","")</f>
        <v>64307</v>
      </c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</row>
    <row r="1005" spans="1:20" x14ac:dyDescent="0.25">
      <c r="A10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5" t="str">
        <f>SUBSTITUTE(SUBSTITUTE(tabSource[[#This Row],[ID]],"&lt;",""),"&gt;","")</f>
        <v>64307</v>
      </c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</row>
    <row r="1006" spans="1:20" x14ac:dyDescent="0.25">
      <c r="A10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6" t="str">
        <f>SUBSTITUTE(SUBSTITUTE(tabSource[[#This Row],[ID]],"&lt;",""),"&gt;","")</f>
        <v>64308</v>
      </c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</row>
    <row r="1007" spans="1:20" x14ac:dyDescent="0.25">
      <c r="A10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7" t="str">
        <f>SUBSTITUTE(SUBSTITUTE(tabSource[[#This Row],[ID]],"&lt;",""),"&gt;","")</f>
        <v>64308</v>
      </c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</row>
    <row r="1008" spans="1:20" x14ac:dyDescent="0.25">
      <c r="A10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8" t="str">
        <f>SUBSTITUTE(SUBSTITUTE(tabSource[[#This Row],[ID]],"&lt;",""),"&gt;","")</f>
        <v>64314</v>
      </c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</row>
    <row r="1009" spans="1:20" x14ac:dyDescent="0.25">
      <c r="A10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09" t="str">
        <f>SUBSTITUTE(SUBSTITUTE(tabSource[[#This Row],[ID]],"&lt;",""),"&gt;","")</f>
        <v>64339</v>
      </c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</row>
    <row r="1010" spans="1:20" x14ac:dyDescent="0.25">
      <c r="A10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0" t="str">
        <f>SUBSTITUTE(SUBSTITUTE(tabSource[[#This Row],[ID]],"&lt;",""),"&gt;","")</f>
        <v>64360</v>
      </c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</row>
    <row r="1011" spans="1:20" x14ac:dyDescent="0.25">
      <c r="A10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1" t="str">
        <f>SUBSTITUTE(SUBSTITUTE(tabSource[[#This Row],[ID]],"&lt;",""),"&gt;","")</f>
        <v>64368</v>
      </c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</row>
    <row r="1012" spans="1:20" x14ac:dyDescent="0.25">
      <c r="A10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2" t="str">
        <f>SUBSTITUTE(SUBSTITUTE(tabSource[[#This Row],[ID]],"&lt;",""),"&gt;","")</f>
        <v>64376</v>
      </c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</row>
    <row r="1013" spans="1:20" x14ac:dyDescent="0.25">
      <c r="A10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3" t="str">
        <f>SUBSTITUTE(SUBSTITUTE(tabSource[[#This Row],[ID]],"&lt;",""),"&gt;","")</f>
        <v>64389</v>
      </c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</row>
    <row r="1014" spans="1:20" x14ac:dyDescent="0.25">
      <c r="A10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4" t="str">
        <f>SUBSTITUTE(SUBSTITUTE(tabSource[[#This Row],[ID]],"&lt;",""),"&gt;","")</f>
        <v>65010</v>
      </c>
      <c r="D1014"/>
      <c r="E1014"/>
      <c r="F1014"/>
      <c r="G1014"/>
      <c r="I1014"/>
      <c r="J1014"/>
      <c r="K1014"/>
      <c r="L1014"/>
      <c r="M1014"/>
      <c r="N1014"/>
      <c r="P1014"/>
      <c r="Q1014"/>
      <c r="R1014"/>
      <c r="S1014"/>
      <c r="T1014"/>
    </row>
    <row r="1015" spans="1:20" x14ac:dyDescent="0.25">
      <c r="A10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5" t="str">
        <f>SUBSTITUTE(SUBSTITUTE(tabSource[[#This Row],[ID]],"&lt;",""),"&gt;","")</f>
        <v>65011</v>
      </c>
      <c r="D1015"/>
      <c r="E1015"/>
      <c r="F1015"/>
      <c r="G1015"/>
      <c r="I1015"/>
      <c r="J1015"/>
      <c r="K1015"/>
      <c r="L1015"/>
      <c r="M1015"/>
      <c r="N1015"/>
      <c r="P1015"/>
      <c r="Q1015"/>
      <c r="R1015"/>
      <c r="S1015"/>
      <c r="T1015"/>
    </row>
    <row r="1016" spans="1:20" x14ac:dyDescent="0.25">
      <c r="A10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6" t="str">
        <f>SUBSTITUTE(SUBSTITUTE(tabSource[[#This Row],[ID]],"&lt;",""),"&gt;","")</f>
        <v>65013</v>
      </c>
      <c r="D1016"/>
      <c r="E1016"/>
      <c r="F1016"/>
      <c r="G1016"/>
      <c r="I1016"/>
      <c r="J1016"/>
      <c r="K1016"/>
      <c r="L1016"/>
      <c r="M1016"/>
      <c r="N1016"/>
      <c r="P1016"/>
      <c r="Q1016"/>
      <c r="R1016"/>
      <c r="S1016"/>
      <c r="T1016"/>
    </row>
    <row r="1017" spans="1:20" x14ac:dyDescent="0.25">
      <c r="A10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7" t="str">
        <f>SUBSTITUTE(SUBSTITUTE(tabSource[[#This Row],[ID]],"&lt;",""),"&gt;","")</f>
        <v>65014</v>
      </c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</row>
    <row r="1018" spans="1:20" x14ac:dyDescent="0.25">
      <c r="A10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8" t="str">
        <f>SUBSTITUTE(SUBSTITUTE(tabSource[[#This Row],[ID]],"&lt;",""),"&gt;","")</f>
        <v>65015</v>
      </c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</row>
    <row r="1019" spans="1:20" x14ac:dyDescent="0.25">
      <c r="A10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19" t="str">
        <f>SUBSTITUTE(SUBSTITUTE(tabSource[[#This Row],[ID]],"&lt;",""),"&gt;","")</f>
        <v>65017</v>
      </c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</row>
    <row r="1020" spans="1:20" x14ac:dyDescent="0.25">
      <c r="A10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0" t="str">
        <f>SUBSTITUTE(SUBSTITUTE(tabSource[[#This Row],[ID]],"&lt;",""),"&gt;","")</f>
        <v>65019</v>
      </c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</row>
    <row r="1021" spans="1:20" x14ac:dyDescent="0.25">
      <c r="A10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1" t="str">
        <f>SUBSTITUTE(SUBSTITUTE(tabSource[[#This Row],[ID]],"&lt;",""),"&gt;","")</f>
        <v>65020</v>
      </c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</row>
    <row r="1022" spans="1:20" x14ac:dyDescent="0.25">
      <c r="A10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2" t="str">
        <f>SUBSTITUTE(SUBSTITUTE(tabSource[[#This Row],[ID]],"&lt;",""),"&gt;","")</f>
        <v>65022</v>
      </c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</row>
    <row r="1023" spans="1:20" x14ac:dyDescent="0.25">
      <c r="A10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3" t="str">
        <f>SUBSTITUTE(SUBSTITUTE(tabSource[[#This Row],[ID]],"&lt;",""),"&gt;","")</f>
        <v>65026</v>
      </c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</row>
    <row r="1024" spans="1:20" x14ac:dyDescent="0.25">
      <c r="A10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4" t="str">
        <f>SUBSTITUTE(SUBSTITUTE(tabSource[[#This Row],[ID]],"&lt;",""),"&gt;","")</f>
        <v>65028</v>
      </c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</row>
    <row r="1025" spans="1:20" x14ac:dyDescent="0.25">
      <c r="A10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5" t="str">
        <f>SUBSTITUTE(SUBSTITUTE(tabSource[[#This Row],[ID]],"&lt;",""),"&gt;","")</f>
        <v>65032</v>
      </c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</row>
    <row r="1026" spans="1:20" x14ac:dyDescent="0.25">
      <c r="A10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6" t="str">
        <f>SUBSTITUTE(SUBSTITUTE(tabSource[[#This Row],[ID]],"&lt;",""),"&gt;","")</f>
        <v>65036</v>
      </c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</row>
    <row r="1027" spans="1:20" x14ac:dyDescent="0.25">
      <c r="A10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7" t="str">
        <f>SUBSTITUTE(SUBSTITUTE(tabSource[[#This Row],[ID]],"&lt;",""),"&gt;","")</f>
        <v>65038</v>
      </c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</row>
    <row r="1028" spans="1:20" x14ac:dyDescent="0.25">
      <c r="A10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8" t="str">
        <f>SUBSTITUTE(SUBSTITUTE(tabSource[[#This Row],[ID]],"&lt;",""),"&gt;","")</f>
        <v>65070</v>
      </c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</row>
    <row r="1029" spans="1:20" x14ac:dyDescent="0.25">
      <c r="A10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29" t="str">
        <f>SUBSTITUTE(SUBSTITUTE(tabSource[[#This Row],[ID]],"&lt;",""),"&gt;","")</f>
        <v>65080</v>
      </c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</row>
    <row r="1030" spans="1:20" x14ac:dyDescent="0.25">
      <c r="A10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0" t="str">
        <f>SUBSTITUTE(SUBSTITUTE(tabSource[[#This Row],[ID]],"&lt;",""),"&gt;","")</f>
        <v>65082</v>
      </c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</row>
    <row r="1031" spans="1:20" x14ac:dyDescent="0.25">
      <c r="A10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1" t="str">
        <f>SUBSTITUTE(SUBSTITUTE(tabSource[[#This Row],[ID]],"&lt;",""),"&gt;","")</f>
        <v>65083</v>
      </c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</row>
    <row r="1032" spans="1:20" x14ac:dyDescent="0.25">
      <c r="A10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2" t="str">
        <f>SUBSTITUTE(SUBSTITUTE(tabSource[[#This Row],[ID]],"&lt;",""),"&gt;","")</f>
        <v>65084</v>
      </c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</row>
    <row r="1033" spans="1:20" x14ac:dyDescent="0.25">
      <c r="A10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3" t="str">
        <f>SUBSTITUTE(SUBSTITUTE(tabSource[[#This Row],[ID]],"&lt;",""),"&gt;","")</f>
        <v>65100</v>
      </c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</row>
    <row r="1034" spans="1:20" x14ac:dyDescent="0.25">
      <c r="A10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4" t="str">
        <f>SUBSTITUTE(SUBSTITUTE(tabSource[[#This Row],[ID]],"&lt;",""),"&gt;","")</f>
        <v>65101</v>
      </c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</row>
    <row r="1035" spans="1:20" x14ac:dyDescent="0.25">
      <c r="A10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5" t="str">
        <f>SUBSTITUTE(SUBSTITUTE(tabSource[[#This Row],[ID]],"&lt;",""),"&gt;","")</f>
        <v>65101-R</v>
      </c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</row>
    <row r="1036" spans="1:20" x14ac:dyDescent="0.25">
      <c r="A10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6" t="str">
        <f>SUBSTITUTE(SUBSTITUTE(tabSource[[#This Row],[ID]],"&lt;",""),"&gt;","")</f>
        <v>65102</v>
      </c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</row>
    <row r="1037" spans="1:20" x14ac:dyDescent="0.25">
      <c r="A10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7" t="str">
        <f>SUBSTITUTE(SUBSTITUTE(tabSource[[#This Row],[ID]],"&lt;",""),"&gt;","")</f>
        <v>65103</v>
      </c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</row>
    <row r="1038" spans="1:20" x14ac:dyDescent="0.25">
      <c r="A10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8" t="str">
        <f>SUBSTITUTE(SUBSTITUTE(tabSource[[#This Row],[ID]],"&lt;",""),"&gt;","")</f>
        <v>65104</v>
      </c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</row>
    <row r="1039" spans="1:20" x14ac:dyDescent="0.25">
      <c r="A10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39" t="str">
        <f>SUBSTITUTE(SUBSTITUTE(tabSource[[#This Row],[ID]],"&lt;",""),"&gt;","")</f>
        <v>65105</v>
      </c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</row>
    <row r="1040" spans="1:20" x14ac:dyDescent="0.25">
      <c r="A10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0" t="str">
        <f>SUBSTITUTE(SUBSTITUTE(tabSource[[#This Row],[ID]],"&lt;",""),"&gt;","")</f>
        <v>65106</v>
      </c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</row>
    <row r="1041" spans="1:20" x14ac:dyDescent="0.25">
      <c r="A10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1" t="str">
        <f>SUBSTITUTE(SUBSTITUTE(tabSource[[#This Row],[ID]],"&lt;",""),"&gt;","")</f>
        <v>65107</v>
      </c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</row>
    <row r="1042" spans="1:20" x14ac:dyDescent="0.25">
      <c r="A10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2" t="str">
        <f>SUBSTITUTE(SUBSTITUTE(tabSource[[#This Row],[ID]],"&lt;",""),"&gt;","")</f>
        <v>65108</v>
      </c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</row>
    <row r="1043" spans="1:20" x14ac:dyDescent="0.25">
      <c r="A10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3" t="str">
        <f>SUBSTITUTE(SUBSTITUTE(tabSource[[#This Row],[ID]],"&lt;",""),"&gt;","")</f>
        <v>65109</v>
      </c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</row>
    <row r="1044" spans="1:20" x14ac:dyDescent="0.25">
      <c r="A10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4" t="str">
        <f>SUBSTITUTE(SUBSTITUTE(tabSource[[#This Row],[ID]],"&lt;",""),"&gt;","")</f>
        <v>65120</v>
      </c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</row>
    <row r="1045" spans="1:20" x14ac:dyDescent="0.25">
      <c r="A10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5" t="str">
        <f>SUBSTITUTE(SUBSTITUTE(tabSource[[#This Row],[ID]],"&lt;",""),"&gt;","")</f>
        <v>65121</v>
      </c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</row>
    <row r="1046" spans="1:20" x14ac:dyDescent="0.25">
      <c r="A10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6" t="str">
        <f>SUBSTITUTE(SUBSTITUTE(tabSource[[#This Row],[ID]],"&lt;",""),"&gt;","")</f>
        <v>65121-R</v>
      </c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</row>
    <row r="1047" spans="1:20" x14ac:dyDescent="0.25">
      <c r="A10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7" t="str">
        <f>SUBSTITUTE(SUBSTITUTE(tabSource[[#This Row],[ID]],"&lt;",""),"&gt;","")</f>
        <v>65122</v>
      </c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</row>
    <row r="1048" spans="1:20" x14ac:dyDescent="0.25">
      <c r="A10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8" t="str">
        <f>SUBSTITUTE(SUBSTITUTE(tabSource[[#This Row],[ID]],"&lt;",""),"&gt;","")</f>
        <v>65123</v>
      </c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</row>
    <row r="1049" spans="1:20" x14ac:dyDescent="0.25">
      <c r="A10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49" t="str">
        <f>SUBSTITUTE(SUBSTITUTE(tabSource[[#This Row],[ID]],"&lt;",""),"&gt;","")</f>
        <v>65124</v>
      </c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</row>
    <row r="1050" spans="1:20" x14ac:dyDescent="0.25">
      <c r="A10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0" t="str">
        <f>SUBSTITUTE(SUBSTITUTE(tabSource[[#This Row],[ID]],"&lt;",""),"&gt;","")</f>
        <v>65125</v>
      </c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</row>
    <row r="1051" spans="1:20" x14ac:dyDescent="0.25">
      <c r="A10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1" t="str">
        <f>SUBSTITUTE(SUBSTITUTE(tabSource[[#This Row],[ID]],"&lt;",""),"&gt;","")</f>
        <v>65126</v>
      </c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</row>
    <row r="1052" spans="1:20" x14ac:dyDescent="0.25">
      <c r="A10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2" t="str">
        <f>SUBSTITUTE(SUBSTITUTE(tabSource[[#This Row],[ID]],"&lt;",""),"&gt;","")</f>
        <v>65127</v>
      </c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</row>
    <row r="1053" spans="1:20" x14ac:dyDescent="0.25">
      <c r="A10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3" t="str">
        <f>SUBSTITUTE(SUBSTITUTE(tabSource[[#This Row],[ID]],"&lt;",""),"&gt;","")</f>
        <v>65128</v>
      </c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</row>
    <row r="1054" spans="1:20" x14ac:dyDescent="0.25">
      <c r="A10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4" t="str">
        <f>SUBSTITUTE(SUBSTITUTE(tabSource[[#This Row],[ID]],"&lt;",""),"&gt;","")</f>
        <v>65129</v>
      </c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</row>
    <row r="1055" spans="1:20" x14ac:dyDescent="0.25">
      <c r="A10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5" t="str">
        <f>SUBSTITUTE(SUBSTITUTE(tabSource[[#This Row],[ID]],"&lt;",""),"&gt;","")</f>
        <v>65130</v>
      </c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</row>
    <row r="1056" spans="1:20" x14ac:dyDescent="0.25">
      <c r="A10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6" t="str">
        <f>SUBSTITUTE(SUBSTITUTE(tabSource[[#This Row],[ID]],"&lt;",""),"&gt;","")</f>
        <v>65131</v>
      </c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</row>
    <row r="1057" spans="1:20" x14ac:dyDescent="0.25">
      <c r="A10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7" t="str">
        <f>SUBSTITUTE(SUBSTITUTE(tabSource[[#This Row],[ID]],"&lt;",""),"&gt;","")</f>
        <v>65151</v>
      </c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</row>
    <row r="1058" spans="1:20" x14ac:dyDescent="0.25">
      <c r="A10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8" t="str">
        <f>SUBSTITUTE(SUBSTITUTE(tabSource[[#This Row],[ID]],"&lt;",""),"&gt;","")</f>
        <v>65152</v>
      </c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</row>
    <row r="1059" spans="1:20" x14ac:dyDescent="0.25">
      <c r="A10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59" t="str">
        <f>SUBSTITUTE(SUBSTITUTE(tabSource[[#This Row],[ID]],"&lt;",""),"&gt;","")</f>
        <v>65214</v>
      </c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</row>
    <row r="1060" spans="1:20" x14ac:dyDescent="0.25">
      <c r="A10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0" t="str">
        <f>SUBSTITUTE(SUBSTITUTE(tabSource[[#This Row],[ID]],"&lt;",""),"&gt;","")</f>
        <v>65215</v>
      </c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</row>
    <row r="1061" spans="1:20" x14ac:dyDescent="0.25">
      <c r="A10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1" t="str">
        <f>SUBSTITUTE(SUBSTITUTE(tabSource[[#This Row],[ID]],"&lt;",""),"&gt;","")</f>
        <v>65216</v>
      </c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</row>
    <row r="1062" spans="1:20" x14ac:dyDescent="0.25">
      <c r="A10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2" t="str">
        <f>SUBSTITUTE(SUBSTITUTE(tabSource[[#This Row],[ID]],"&lt;",""),"&gt;","")</f>
        <v>65217</v>
      </c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</row>
    <row r="1063" spans="1:20" x14ac:dyDescent="0.25">
      <c r="A10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3" t="str">
        <f>SUBSTITUTE(SUBSTITUTE(tabSource[[#This Row],[ID]],"&lt;",""),"&gt;","")</f>
        <v>65218</v>
      </c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</row>
    <row r="1064" spans="1:20" x14ac:dyDescent="0.25">
      <c r="A10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4" t="str">
        <f>SUBSTITUTE(SUBSTITUTE(tabSource[[#This Row],[ID]],"&lt;",""),"&gt;","")</f>
        <v>65219</v>
      </c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</row>
    <row r="1065" spans="1:20" x14ac:dyDescent="0.25">
      <c r="A10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5" t="str">
        <f>SUBSTITUTE(SUBSTITUTE(tabSource[[#This Row],[ID]],"&lt;",""),"&gt;","")</f>
        <v>65240</v>
      </c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</row>
    <row r="1066" spans="1:20" x14ac:dyDescent="0.25">
      <c r="A10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6" t="str">
        <f>SUBSTITUTE(SUBSTITUTE(tabSource[[#This Row],[ID]],"&lt;",""),"&gt;","")</f>
        <v>65250</v>
      </c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</row>
    <row r="1067" spans="1:20" x14ac:dyDescent="0.25">
      <c r="A10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7" t="str">
        <f>SUBSTITUTE(SUBSTITUTE(tabSource[[#This Row],[ID]],"&lt;",""),"&gt;","")</f>
        <v>65251</v>
      </c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</row>
    <row r="1068" spans="1:20" x14ac:dyDescent="0.25">
      <c r="A10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8" t="str">
        <f>SUBSTITUTE(SUBSTITUTE(tabSource[[#This Row],[ID]],"&lt;",""),"&gt;","")</f>
        <v>65252</v>
      </c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</row>
    <row r="1069" spans="1:20" x14ac:dyDescent="0.25">
      <c r="A10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69" t="str">
        <f>SUBSTITUTE(SUBSTITUTE(tabSource[[#This Row],[ID]],"&lt;",""),"&gt;","")</f>
        <v>65253</v>
      </c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</row>
    <row r="1070" spans="1:20" x14ac:dyDescent="0.25">
      <c r="A10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0" t="str">
        <f>SUBSTITUTE(SUBSTITUTE(tabSource[[#This Row],[ID]],"&lt;",""),"&gt;","")</f>
        <v>65254</v>
      </c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</row>
    <row r="1071" spans="1:20" x14ac:dyDescent="0.25">
      <c r="A10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1" t="str">
        <f>SUBSTITUTE(SUBSTITUTE(tabSource[[#This Row],[ID]],"&lt;",""),"&gt;","")</f>
        <v>65255</v>
      </c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</row>
    <row r="1072" spans="1:20" x14ac:dyDescent="0.25">
      <c r="A10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2" t="str">
        <f>SUBSTITUTE(SUBSTITUTE(tabSource[[#This Row],[ID]],"&lt;",""),"&gt;","")</f>
        <v>65256</v>
      </c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</row>
    <row r="1073" spans="1:20" x14ac:dyDescent="0.25">
      <c r="A10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3" t="str">
        <f>SUBSTITUTE(SUBSTITUTE(tabSource[[#This Row],[ID]],"&lt;",""),"&gt;","")</f>
        <v>65257</v>
      </c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</row>
    <row r="1074" spans="1:20" x14ac:dyDescent="0.25">
      <c r="A10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4" t="str">
        <f>SUBSTITUTE(SUBSTITUTE(tabSource[[#This Row],[ID]],"&lt;",""),"&gt;","")</f>
        <v>65258</v>
      </c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</row>
    <row r="1075" spans="1:20" x14ac:dyDescent="0.25">
      <c r="A10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5" t="str">
        <f>SUBSTITUTE(SUBSTITUTE(tabSource[[#This Row],[ID]],"&lt;",""),"&gt;","")</f>
        <v>65272</v>
      </c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</row>
    <row r="1076" spans="1:20" x14ac:dyDescent="0.25">
      <c r="A10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6" t="str">
        <f>SUBSTITUTE(SUBSTITUTE(tabSource[[#This Row],[ID]],"&lt;",""),"&gt;","")</f>
        <v>65273</v>
      </c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</row>
    <row r="1077" spans="1:20" x14ac:dyDescent="0.25">
      <c r="A10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7" t="str">
        <f>SUBSTITUTE(SUBSTITUTE(tabSource[[#This Row],[ID]],"&lt;",""),"&gt;","")</f>
        <v>65274</v>
      </c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</row>
    <row r="1078" spans="1:20" x14ac:dyDescent="0.25">
      <c r="A10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8" t="str">
        <f>SUBSTITUTE(SUBSTITUTE(tabSource[[#This Row],[ID]],"&lt;",""),"&gt;","")</f>
        <v>65275</v>
      </c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</row>
    <row r="1079" spans="1:20" x14ac:dyDescent="0.25">
      <c r="A10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79" t="str">
        <f>SUBSTITUTE(SUBSTITUTE(tabSource[[#This Row],[ID]],"&lt;",""),"&gt;","")</f>
        <v>65280</v>
      </c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</row>
    <row r="1080" spans="1:20" x14ac:dyDescent="0.25">
      <c r="A10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0" t="str">
        <f>SUBSTITUTE(SUBSTITUTE(tabSource[[#This Row],[ID]],"&lt;",""),"&gt;","")</f>
        <v>65287</v>
      </c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</row>
    <row r="1081" spans="1:20" x14ac:dyDescent="0.25">
      <c r="A10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1" t="str">
        <f>SUBSTITUTE(SUBSTITUTE(tabSource[[#This Row],[ID]],"&lt;",""),"&gt;","")</f>
        <v>65288</v>
      </c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</row>
    <row r="1082" spans="1:20" x14ac:dyDescent="0.25">
      <c r="A10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2" t="str">
        <f>SUBSTITUTE(SUBSTITUTE(tabSource[[#This Row],[ID]],"&lt;",""),"&gt;","")</f>
        <v>65288-V4A</v>
      </c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</row>
    <row r="1083" spans="1:20" x14ac:dyDescent="0.25">
      <c r="A10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3" t="str">
        <f>SUBSTITUTE(SUBSTITUTE(tabSource[[#This Row],[ID]],"&lt;",""),"&gt;","")</f>
        <v>65289</v>
      </c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</row>
    <row r="1084" spans="1:20" x14ac:dyDescent="0.25">
      <c r="A10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4" t="str">
        <f>SUBSTITUTE(SUBSTITUTE(tabSource[[#This Row],[ID]],"&lt;",""),"&gt;","")</f>
        <v>65290</v>
      </c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</row>
    <row r="1085" spans="1:20" x14ac:dyDescent="0.25">
      <c r="A10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5" t="str">
        <f>SUBSTITUTE(SUBSTITUTE(tabSource[[#This Row],[ID]],"&lt;",""),"&gt;","")</f>
        <v>65292</v>
      </c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</row>
    <row r="1086" spans="1:20" x14ac:dyDescent="0.25">
      <c r="A10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6" t="str">
        <f>SUBSTITUTE(SUBSTITUTE(tabSource[[#This Row],[ID]],"&lt;",""),"&gt;","")</f>
        <v>65293</v>
      </c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</row>
    <row r="1087" spans="1:20" x14ac:dyDescent="0.25">
      <c r="A10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7" t="str">
        <f>SUBSTITUTE(SUBSTITUTE(tabSource[[#This Row],[ID]],"&lt;",""),"&gt;","")</f>
        <v>65295</v>
      </c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</row>
    <row r="1088" spans="1:20" x14ac:dyDescent="0.25">
      <c r="A10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8" t="str">
        <f>SUBSTITUTE(SUBSTITUTE(tabSource[[#This Row],[ID]],"&lt;",""),"&gt;","")</f>
        <v>65295-V4A</v>
      </c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</row>
    <row r="1089" spans="1:20" x14ac:dyDescent="0.25">
      <c r="A10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89" t="str">
        <f>SUBSTITUTE(SUBSTITUTE(tabSource[[#This Row],[ID]],"&lt;",""),"&gt;","")</f>
        <v>65296</v>
      </c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</row>
    <row r="1090" spans="1:20" x14ac:dyDescent="0.25">
      <c r="A10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0" t="str">
        <f>SUBSTITUTE(SUBSTITUTE(tabSource[[#This Row],[ID]],"&lt;",""),"&gt;","")</f>
        <v>65297</v>
      </c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</row>
    <row r="1091" spans="1:20" x14ac:dyDescent="0.25">
      <c r="A10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1" t="str">
        <f>SUBSTITUTE(SUBSTITUTE(tabSource[[#This Row],[ID]],"&lt;",""),"&gt;","")</f>
        <v>65298</v>
      </c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</row>
    <row r="1092" spans="1:20" x14ac:dyDescent="0.25">
      <c r="A10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2" t="str">
        <f>SUBSTITUTE(SUBSTITUTE(tabSource[[#This Row],[ID]],"&lt;",""),"&gt;","")</f>
        <v>65298-V4A</v>
      </c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</row>
    <row r="1093" spans="1:20" x14ac:dyDescent="0.25">
      <c r="A10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3" t="str">
        <f>SUBSTITUTE(SUBSTITUTE(tabSource[[#This Row],[ID]],"&lt;",""),"&gt;","")</f>
        <v>65299</v>
      </c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</row>
    <row r="1094" spans="1:20" x14ac:dyDescent="0.25">
      <c r="A10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4" t="str">
        <f>SUBSTITUTE(SUBSTITUTE(tabSource[[#This Row],[ID]],"&lt;",""),"&gt;","")</f>
        <v>65632</v>
      </c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</row>
    <row r="1095" spans="1:20" x14ac:dyDescent="0.25">
      <c r="A10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5" t="str">
        <f>SUBSTITUTE(SUBSTITUTE(tabSource[[#This Row],[ID]],"&lt;",""),"&gt;","")</f>
        <v>65633</v>
      </c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</row>
    <row r="1096" spans="1:20" x14ac:dyDescent="0.25">
      <c r="A10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6" t="str">
        <f>SUBSTITUTE(SUBSTITUTE(tabSource[[#This Row],[ID]],"&lt;",""),"&gt;","")</f>
        <v>65634</v>
      </c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</row>
    <row r="1097" spans="1:20" x14ac:dyDescent="0.25">
      <c r="A10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7" t="str">
        <f>SUBSTITUTE(SUBSTITUTE(tabSource[[#This Row],[ID]],"&lt;",""),"&gt;","")</f>
        <v>65635</v>
      </c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</row>
    <row r="1098" spans="1:20" x14ac:dyDescent="0.25">
      <c r="A10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8" t="str">
        <f>SUBSTITUTE(SUBSTITUTE(tabSource[[#This Row],[ID]],"&lt;",""),"&gt;","")</f>
        <v>65636</v>
      </c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</row>
    <row r="1099" spans="1:20" x14ac:dyDescent="0.25">
      <c r="A10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0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099" t="str">
        <f>SUBSTITUTE(SUBSTITUTE(tabSource[[#This Row],[ID]],"&lt;",""),"&gt;","")</f>
        <v>65637</v>
      </c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</row>
    <row r="1100" spans="1:20" x14ac:dyDescent="0.25">
      <c r="A11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0" t="str">
        <f>SUBSTITUTE(SUBSTITUTE(tabSource[[#This Row],[ID]],"&lt;",""),"&gt;","")</f>
        <v>65638</v>
      </c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</row>
    <row r="1101" spans="1:20" x14ac:dyDescent="0.25">
      <c r="A11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1" t="str">
        <f>SUBSTITUTE(SUBSTITUTE(tabSource[[#This Row],[ID]],"&lt;",""),"&gt;","")</f>
        <v>65639</v>
      </c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</row>
    <row r="1102" spans="1:20" x14ac:dyDescent="0.25">
      <c r="A11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2" t="str">
        <f>SUBSTITUTE(SUBSTITUTE(tabSource[[#This Row],[ID]],"&lt;",""),"&gt;","")</f>
        <v>66012</v>
      </c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</row>
    <row r="1103" spans="1:20" x14ac:dyDescent="0.25">
      <c r="A11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3" t="str">
        <f>SUBSTITUTE(SUBSTITUTE(tabSource[[#This Row],[ID]],"&lt;",""),"&gt;","")</f>
        <v>66014</v>
      </c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</row>
    <row r="1104" spans="1:20" x14ac:dyDescent="0.25">
      <c r="A11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4" t="str">
        <f>SUBSTITUTE(SUBSTITUTE(tabSource[[#This Row],[ID]],"&lt;",""),"&gt;","")</f>
        <v>66022</v>
      </c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</row>
    <row r="1105" spans="1:20" x14ac:dyDescent="0.25">
      <c r="A11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5" t="str">
        <f>SUBSTITUTE(SUBSTITUTE(tabSource[[#This Row],[ID]],"&lt;",""),"&gt;","")</f>
        <v>66024</v>
      </c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</row>
    <row r="1106" spans="1:20" x14ac:dyDescent="0.25">
      <c r="A11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6" t="str">
        <f>SUBSTITUTE(SUBSTITUTE(tabSource[[#This Row],[ID]],"&lt;",""),"&gt;","")</f>
        <v>66051</v>
      </c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</row>
    <row r="1107" spans="1:20" x14ac:dyDescent="0.25">
      <c r="A11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7" t="str">
        <f>SUBSTITUTE(SUBSTITUTE(tabSource[[#This Row],[ID]],"&lt;",""),"&gt;","")</f>
        <v>66053</v>
      </c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</row>
    <row r="1108" spans="1:20" x14ac:dyDescent="0.25">
      <c r="A11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8" t="str">
        <f>SUBSTITUTE(SUBSTITUTE(tabSource[[#This Row],[ID]],"&lt;",""),"&gt;","")</f>
        <v>66062</v>
      </c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</row>
    <row r="1109" spans="1:20" x14ac:dyDescent="0.25">
      <c r="A11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09" t="str">
        <f>SUBSTITUTE(SUBSTITUTE(tabSource[[#This Row],[ID]],"&lt;",""),"&gt;","")</f>
        <v>66062-V4A</v>
      </c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</row>
    <row r="1110" spans="1:20" x14ac:dyDescent="0.25">
      <c r="A11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0" t="str">
        <f>SUBSTITUTE(SUBSTITUTE(tabSource[[#This Row],[ID]],"&lt;",""),"&gt;","")</f>
        <v>66062-V4A-P</v>
      </c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</row>
    <row r="1111" spans="1:20" x14ac:dyDescent="0.25">
      <c r="A11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1" t="str">
        <f>SUBSTITUTE(SUBSTITUTE(tabSource[[#This Row],[ID]],"&lt;",""),"&gt;","")</f>
        <v>66066</v>
      </c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</row>
    <row r="1112" spans="1:20" x14ac:dyDescent="0.25">
      <c r="A11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2" t="str">
        <f>SUBSTITUTE(SUBSTITUTE(tabSource[[#This Row],[ID]],"&lt;",""),"&gt;","")</f>
        <v>66066-V4A</v>
      </c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</row>
    <row r="1113" spans="1:20" x14ac:dyDescent="0.25">
      <c r="A11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3" t="str">
        <f>SUBSTITUTE(SUBSTITUTE(tabSource[[#This Row],[ID]],"&lt;",""),"&gt;","")</f>
        <v>66068</v>
      </c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</row>
    <row r="1114" spans="1:20" x14ac:dyDescent="0.25">
      <c r="A11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4" t="str">
        <f>SUBSTITUTE(SUBSTITUTE(tabSource[[#This Row],[ID]],"&lt;",""),"&gt;","")</f>
        <v>66068-V4A</v>
      </c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</row>
    <row r="1115" spans="1:20" x14ac:dyDescent="0.25">
      <c r="A11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5" t="str">
        <f>SUBSTITUTE(SUBSTITUTE(tabSource[[#This Row],[ID]],"&lt;",""),"&gt;","")</f>
        <v>66069</v>
      </c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</row>
    <row r="1116" spans="1:20" x14ac:dyDescent="0.25">
      <c r="A11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6" t="str">
        <f>SUBSTITUTE(SUBSTITUTE(tabSource[[#This Row],[ID]],"&lt;",""),"&gt;","")</f>
        <v>66069-V4A</v>
      </c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</row>
    <row r="1117" spans="1:20" x14ac:dyDescent="0.25">
      <c r="A11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7" t="str">
        <f>SUBSTITUTE(SUBSTITUTE(tabSource[[#This Row],[ID]],"&lt;",""),"&gt;","")</f>
        <v>66082</v>
      </c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</row>
    <row r="1118" spans="1:20" x14ac:dyDescent="0.25">
      <c r="A11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8" t="str">
        <f>SUBSTITUTE(SUBSTITUTE(tabSource[[#This Row],[ID]],"&lt;",""),"&gt;","")</f>
        <v>66083</v>
      </c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</row>
    <row r="1119" spans="1:20" x14ac:dyDescent="0.25">
      <c r="A11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19" t="str">
        <f>SUBSTITUTE(SUBSTITUTE(tabSource[[#This Row],[ID]],"&lt;",""),"&gt;","")</f>
        <v>66083-V4A</v>
      </c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</row>
    <row r="1120" spans="1:20" x14ac:dyDescent="0.25">
      <c r="A11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0" t="str">
        <f>SUBSTITUTE(SUBSTITUTE(tabSource[[#This Row],[ID]],"&lt;",""),"&gt;","")</f>
        <v>66084</v>
      </c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</row>
    <row r="1121" spans="1:20" x14ac:dyDescent="0.25">
      <c r="A11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1" t="str">
        <f>SUBSTITUTE(SUBSTITUTE(tabSource[[#This Row],[ID]],"&lt;",""),"&gt;","")</f>
        <v>66085</v>
      </c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</row>
    <row r="1122" spans="1:20" x14ac:dyDescent="0.25">
      <c r="A11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2" t="str">
        <f>SUBSTITUTE(SUBSTITUTE(tabSource[[#This Row],[ID]],"&lt;",""),"&gt;","")</f>
        <v>66102</v>
      </c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</row>
    <row r="1123" spans="1:20" x14ac:dyDescent="0.25">
      <c r="A11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3" t="str">
        <f>SUBSTITUTE(SUBSTITUTE(tabSource[[#This Row],[ID]],"&lt;",""),"&gt;","")</f>
        <v>66106</v>
      </c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</row>
    <row r="1124" spans="1:20" x14ac:dyDescent="0.25">
      <c r="A11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4" t="str">
        <f>SUBSTITUTE(SUBSTITUTE(tabSource[[#This Row],[ID]],"&lt;",""),"&gt;","")</f>
        <v>66122</v>
      </c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</row>
    <row r="1125" spans="1:20" x14ac:dyDescent="0.25">
      <c r="A11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5" t="str">
        <f>SUBSTITUTE(SUBSTITUTE(tabSource[[#This Row],[ID]],"&lt;",""),"&gt;","")</f>
        <v>66126</v>
      </c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</row>
    <row r="1126" spans="1:20" x14ac:dyDescent="0.25">
      <c r="A11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6" t="str">
        <f>SUBSTITUTE(SUBSTITUTE(tabSource[[#This Row],[ID]],"&lt;",""),"&gt;","")</f>
        <v>66150</v>
      </c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</row>
    <row r="1127" spans="1:20" x14ac:dyDescent="0.25">
      <c r="A11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7" t="str">
        <f>SUBSTITUTE(SUBSTITUTE(tabSource[[#This Row],[ID]],"&lt;",""),"&gt;","")</f>
        <v>66151</v>
      </c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</row>
    <row r="1128" spans="1:20" x14ac:dyDescent="0.25">
      <c r="A11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8" t="str">
        <f>SUBSTITUTE(SUBSTITUTE(tabSource[[#This Row],[ID]],"&lt;",""),"&gt;","")</f>
        <v>66152</v>
      </c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</row>
    <row r="1129" spans="1:20" x14ac:dyDescent="0.25">
      <c r="A11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29" t="str">
        <f>SUBSTITUTE(SUBSTITUTE(tabSource[[#This Row],[ID]],"&lt;",""),"&gt;","")</f>
        <v>66153</v>
      </c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</row>
    <row r="1130" spans="1:20" x14ac:dyDescent="0.25">
      <c r="A11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0" t="str">
        <f>SUBSTITUTE(SUBSTITUTE(tabSource[[#This Row],[ID]],"&lt;",""),"&gt;","")</f>
        <v>66162</v>
      </c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</row>
    <row r="1131" spans="1:20" x14ac:dyDescent="0.25">
      <c r="A11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1" t="str">
        <f>SUBSTITUTE(SUBSTITUTE(tabSource[[#This Row],[ID]],"&lt;",""),"&gt;","")</f>
        <v>66162-V4A</v>
      </c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</row>
    <row r="1132" spans="1:20" x14ac:dyDescent="0.25">
      <c r="A11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2" t="str">
        <f>SUBSTITUTE(SUBSTITUTE(tabSource[[#This Row],[ID]],"&lt;",""),"&gt;","")</f>
        <v>66162-V4A-P</v>
      </c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</row>
    <row r="1133" spans="1:20" x14ac:dyDescent="0.25">
      <c r="A11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3" t="str">
        <f>SUBSTITUTE(SUBSTITUTE(tabSource[[#This Row],[ID]],"&lt;",""),"&gt;","")</f>
        <v>66163</v>
      </c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</row>
    <row r="1134" spans="1:20" x14ac:dyDescent="0.25">
      <c r="A11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4" t="str">
        <f>SUBSTITUTE(SUBSTITUTE(tabSource[[#This Row],[ID]],"&lt;",""),"&gt;","")</f>
        <v>66163-V4A</v>
      </c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</row>
    <row r="1135" spans="1:20" x14ac:dyDescent="0.25">
      <c r="A11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5" t="str">
        <f>SUBSTITUTE(SUBSTITUTE(tabSource[[#This Row],[ID]],"&lt;",""),"&gt;","")</f>
        <v>66163-V4A-P</v>
      </c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</row>
    <row r="1136" spans="1:20" x14ac:dyDescent="0.25">
      <c r="A11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6" t="str">
        <f>SUBSTITUTE(SUBSTITUTE(tabSource[[#This Row],[ID]],"&lt;",""),"&gt;","")</f>
        <v>66164</v>
      </c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</row>
    <row r="1137" spans="1:20" x14ac:dyDescent="0.25">
      <c r="A11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7" t="str">
        <f>SUBSTITUTE(SUBSTITUTE(tabSource[[#This Row],[ID]],"&lt;",""),"&gt;","")</f>
        <v>66164-V4A</v>
      </c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</row>
    <row r="1138" spans="1:20" x14ac:dyDescent="0.25">
      <c r="A11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8" t="str">
        <f>SUBSTITUTE(SUBSTITUTE(tabSource[[#This Row],[ID]],"&lt;",""),"&gt;","")</f>
        <v>66164-V4A-P</v>
      </c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</row>
    <row r="1139" spans="1:20" x14ac:dyDescent="0.25">
      <c r="A11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39" t="str">
        <f>SUBSTITUTE(SUBSTITUTE(tabSource[[#This Row],[ID]],"&lt;",""),"&gt;","")</f>
        <v>66165</v>
      </c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</row>
    <row r="1140" spans="1:20" x14ac:dyDescent="0.25">
      <c r="A11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0" t="str">
        <f>SUBSTITUTE(SUBSTITUTE(tabSource[[#This Row],[ID]],"&lt;",""),"&gt;","")</f>
        <v>66165-V4A</v>
      </c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</row>
    <row r="1141" spans="1:20" x14ac:dyDescent="0.25">
      <c r="A11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1" t="str">
        <f>SUBSTITUTE(SUBSTITUTE(tabSource[[#This Row],[ID]],"&lt;",""),"&gt;","")</f>
        <v>66165-V4A-P</v>
      </c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</row>
    <row r="1142" spans="1:20" x14ac:dyDescent="0.25">
      <c r="A11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2" t="str">
        <f>SUBSTITUTE(SUBSTITUTE(tabSource[[#This Row],[ID]],"&lt;",""),"&gt;","")</f>
        <v>66168</v>
      </c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</row>
    <row r="1143" spans="1:20" x14ac:dyDescent="0.25">
      <c r="A11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3" t="str">
        <f>SUBSTITUTE(SUBSTITUTE(tabSource[[#This Row],[ID]],"&lt;",""),"&gt;","")</f>
        <v>66168-V4A</v>
      </c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</row>
    <row r="1144" spans="1:20" x14ac:dyDescent="0.25">
      <c r="A11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4" t="str">
        <f>SUBSTITUTE(SUBSTITUTE(tabSource[[#This Row],[ID]],"&lt;",""),"&gt;","")</f>
        <v>66168-V4A-P</v>
      </c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</row>
    <row r="1145" spans="1:20" x14ac:dyDescent="0.25">
      <c r="A11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5" t="str">
        <f>SUBSTITUTE(SUBSTITUTE(tabSource[[#This Row],[ID]],"&lt;",""),"&gt;","")</f>
        <v>68491</v>
      </c>
      <c r="D1145"/>
      <c r="E1145"/>
      <c r="F1145"/>
      <c r="G1145"/>
      <c r="H1145"/>
      <c r="I1145"/>
      <c r="J1145"/>
      <c r="K1145"/>
      <c r="L1145"/>
      <c r="M1145"/>
      <c r="Q1145"/>
      <c r="R1145"/>
      <c r="S1145"/>
      <c r="T1145"/>
    </row>
    <row r="1146" spans="1:20" x14ac:dyDescent="0.25">
      <c r="A11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6" t="str">
        <f>SUBSTITUTE(SUBSTITUTE(tabSource[[#This Row],[ID]],"&lt;",""),"&gt;","")</f>
        <v>68493</v>
      </c>
      <c r="D1146"/>
      <c r="E1146"/>
      <c r="F1146"/>
      <c r="G1146"/>
      <c r="H1146"/>
      <c r="I1146"/>
      <c r="J1146"/>
      <c r="K1146"/>
      <c r="L1146"/>
      <c r="M1146"/>
      <c r="Q1146"/>
      <c r="R1146"/>
      <c r="S1146"/>
      <c r="T1146"/>
    </row>
    <row r="1147" spans="1:20" x14ac:dyDescent="0.25">
      <c r="A11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7" t="str">
        <f>SUBSTITUTE(SUBSTITUTE(tabSource[[#This Row],[ID]],"&lt;",""),"&gt;","")</f>
        <v>68493-E</v>
      </c>
      <c r="D1147"/>
      <c r="E1147"/>
      <c r="F1147"/>
      <c r="G1147"/>
      <c r="H1147"/>
      <c r="I1147"/>
      <c r="J1147"/>
      <c r="K1147"/>
      <c r="L1147"/>
      <c r="M1147"/>
      <c r="Q1147"/>
      <c r="R1147"/>
      <c r="S1147"/>
      <c r="T1147"/>
    </row>
    <row r="1148" spans="1:20" x14ac:dyDescent="0.25">
      <c r="A11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8" t="str">
        <f>SUBSTITUTE(SUBSTITUTE(tabSource[[#This Row],[ID]],"&lt;",""),"&gt;","")</f>
        <v>68494</v>
      </c>
      <c r="D1148"/>
      <c r="E1148"/>
      <c r="F1148"/>
      <c r="G1148"/>
      <c r="H1148"/>
      <c r="I1148"/>
      <c r="J1148"/>
      <c r="K1148"/>
      <c r="L1148"/>
      <c r="M1148"/>
      <c r="Q1148"/>
      <c r="R1148"/>
      <c r="S1148"/>
      <c r="T1148"/>
    </row>
    <row r="1149" spans="1:20" x14ac:dyDescent="0.25">
      <c r="A11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49" t="str">
        <f>SUBSTITUTE(SUBSTITUTE(tabSource[[#This Row],[ID]],"&lt;",""),"&gt;","")</f>
        <v>68494-E</v>
      </c>
      <c r="D1149"/>
      <c r="E1149"/>
      <c r="F1149"/>
      <c r="G1149"/>
      <c r="H1149"/>
      <c r="I1149"/>
      <c r="J1149"/>
      <c r="K1149"/>
      <c r="L1149"/>
      <c r="M1149"/>
      <c r="Q1149"/>
      <c r="R1149"/>
      <c r="S1149"/>
      <c r="T1149"/>
    </row>
    <row r="1150" spans="1:20" x14ac:dyDescent="0.25">
      <c r="A11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0" t="str">
        <f>SUBSTITUTE(SUBSTITUTE(tabSource[[#This Row],[ID]],"&lt;",""),"&gt;","")</f>
        <v>68497</v>
      </c>
      <c r="D1150"/>
      <c r="E1150"/>
      <c r="F1150"/>
      <c r="G1150"/>
      <c r="H1150"/>
      <c r="I1150"/>
      <c r="J1150"/>
      <c r="K1150"/>
      <c r="L1150"/>
      <c r="M1150"/>
      <c r="Q1150"/>
      <c r="R1150"/>
      <c r="S1150"/>
      <c r="T1150"/>
    </row>
    <row r="1151" spans="1:20" x14ac:dyDescent="0.25">
      <c r="A11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1" t="str">
        <f>SUBSTITUTE(SUBSTITUTE(tabSource[[#This Row],[ID]],"&lt;",""),"&gt;","")</f>
        <v>68498</v>
      </c>
      <c r="D1151"/>
      <c r="E1151"/>
      <c r="F1151"/>
      <c r="G1151"/>
      <c r="H1151"/>
      <c r="I1151"/>
      <c r="J1151"/>
      <c r="K1151"/>
      <c r="L1151"/>
      <c r="M1151"/>
      <c r="Q1151"/>
      <c r="R1151"/>
      <c r="S1151"/>
      <c r="T1151"/>
    </row>
    <row r="1152" spans="1:20" x14ac:dyDescent="0.25">
      <c r="A11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2" t="str">
        <f>SUBSTITUTE(SUBSTITUTE(tabSource[[#This Row],[ID]],"&lt;",""),"&gt;","")</f>
        <v>68498-E</v>
      </c>
      <c r="D1152"/>
      <c r="E1152"/>
      <c r="F1152"/>
      <c r="G1152"/>
      <c r="H1152"/>
      <c r="I1152"/>
      <c r="J1152"/>
      <c r="K1152"/>
      <c r="L1152"/>
      <c r="M1152"/>
      <c r="Q1152"/>
      <c r="R1152"/>
      <c r="S1152"/>
      <c r="T1152"/>
    </row>
    <row r="1153" spans="1:20" x14ac:dyDescent="0.25">
      <c r="A11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3" t="str">
        <f>SUBSTITUTE(SUBSTITUTE(tabSource[[#This Row],[ID]],"&lt;",""),"&gt;","")</f>
        <v>68499</v>
      </c>
      <c r="D1153"/>
      <c r="E1153"/>
      <c r="F1153"/>
      <c r="G1153"/>
      <c r="H1153"/>
      <c r="I1153"/>
      <c r="J1153"/>
      <c r="K1153"/>
      <c r="L1153"/>
      <c r="M1153"/>
      <c r="Q1153"/>
      <c r="R1153"/>
      <c r="S1153"/>
      <c r="T1153"/>
    </row>
    <row r="1154" spans="1:20" x14ac:dyDescent="0.25">
      <c r="A11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4" t="str">
        <f>SUBSTITUTE(SUBSTITUTE(tabSource[[#This Row],[ID]],"&lt;",""),"&gt;","")</f>
        <v>68499-E</v>
      </c>
      <c r="D1154"/>
      <c r="E1154"/>
      <c r="F1154"/>
      <c r="G1154"/>
      <c r="H1154"/>
      <c r="I1154"/>
      <c r="J1154"/>
      <c r="K1154"/>
      <c r="L1154"/>
      <c r="M1154"/>
      <c r="Q1154"/>
      <c r="R1154"/>
      <c r="S1154"/>
      <c r="T1154"/>
    </row>
    <row r="1155" spans="1:20" x14ac:dyDescent="0.25">
      <c r="A11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5" t="str">
        <f>SUBSTITUTE(SUBSTITUTE(tabSource[[#This Row],[ID]],"&lt;",""),"&gt;","")</f>
        <v>68861</v>
      </c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</row>
    <row r="1156" spans="1:20" x14ac:dyDescent="0.25">
      <c r="A11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6" t="str">
        <f>SUBSTITUTE(SUBSTITUTE(tabSource[[#This Row],[ID]],"&lt;",""),"&gt;","")</f>
        <v>68862</v>
      </c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</row>
    <row r="1157" spans="1:20" x14ac:dyDescent="0.25">
      <c r="A11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7" t="str">
        <f>SUBSTITUTE(SUBSTITUTE(tabSource[[#This Row],[ID]],"&lt;",""),"&gt;","")</f>
        <v>68865</v>
      </c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</row>
    <row r="1158" spans="1:20" x14ac:dyDescent="0.25">
      <c r="A11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8" t="str">
        <f>SUBSTITUTE(SUBSTITUTE(tabSource[[#This Row],[ID]],"&lt;",""),"&gt;","")</f>
        <v>68866</v>
      </c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</row>
    <row r="1159" spans="1:20" x14ac:dyDescent="0.25">
      <c r="A11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59" t="str">
        <f>SUBSTITUTE(SUBSTITUTE(tabSource[[#This Row],[ID]],"&lt;",""),"&gt;","")</f>
        <v>68878</v>
      </c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</row>
    <row r="1160" spans="1:20" x14ac:dyDescent="0.25">
      <c r="A11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0" t="str">
        <f>SUBSTITUTE(SUBSTITUTE(tabSource[[#This Row],[ID]],"&lt;",""),"&gt;","")</f>
        <v>69205</v>
      </c>
      <c r="D1160"/>
      <c r="E1160"/>
      <c r="F1160"/>
      <c r="G1160"/>
      <c r="I1160"/>
      <c r="J1160"/>
      <c r="K1160"/>
      <c r="L1160"/>
      <c r="M1160"/>
      <c r="P1160"/>
      <c r="Q1160"/>
      <c r="R1160"/>
      <c r="S1160"/>
      <c r="T1160"/>
    </row>
    <row r="1161" spans="1:20" x14ac:dyDescent="0.25">
      <c r="A11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1" t="str">
        <f>SUBSTITUTE(SUBSTITUTE(tabSource[[#This Row],[ID]],"&lt;",""),"&gt;","")</f>
        <v>69206</v>
      </c>
      <c r="D1161"/>
      <c r="E1161"/>
      <c r="F1161"/>
      <c r="G1161"/>
      <c r="I1161"/>
      <c r="J1161"/>
      <c r="K1161"/>
      <c r="L1161"/>
      <c r="M1161"/>
      <c r="P1161"/>
      <c r="Q1161"/>
      <c r="R1161"/>
      <c r="S1161"/>
      <c r="T1161"/>
    </row>
    <row r="1162" spans="1:20" x14ac:dyDescent="0.25">
      <c r="A11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2" t="str">
        <f>SUBSTITUTE(SUBSTITUTE(tabSource[[#This Row],[ID]],"&lt;",""),"&gt;","")</f>
        <v>69207</v>
      </c>
      <c r="D1162"/>
      <c r="E1162"/>
      <c r="F1162"/>
      <c r="G1162"/>
      <c r="I1162"/>
      <c r="J1162"/>
      <c r="K1162"/>
      <c r="L1162"/>
      <c r="M1162"/>
      <c r="P1162"/>
      <c r="Q1162"/>
      <c r="R1162"/>
      <c r="S1162"/>
      <c r="T1162"/>
    </row>
    <row r="1163" spans="1:20" x14ac:dyDescent="0.25">
      <c r="A11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3" t="str">
        <f>SUBSTITUTE(SUBSTITUTE(tabSource[[#This Row],[ID]],"&lt;",""),"&gt;","")</f>
        <v>69215</v>
      </c>
      <c r="D1163"/>
      <c r="E1163"/>
      <c r="F1163"/>
      <c r="G1163"/>
      <c r="I1163"/>
      <c r="J1163"/>
      <c r="K1163"/>
      <c r="L1163"/>
      <c r="M1163"/>
      <c r="P1163"/>
      <c r="Q1163"/>
      <c r="R1163"/>
      <c r="S1163"/>
      <c r="T1163"/>
    </row>
    <row r="1164" spans="1:20" x14ac:dyDescent="0.25">
      <c r="A11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4" t="str">
        <f>SUBSTITUTE(SUBSTITUTE(tabSource[[#This Row],[ID]],"&lt;",""),"&gt;","")</f>
        <v>69216</v>
      </c>
      <c r="D1164"/>
      <c r="E1164"/>
      <c r="F1164"/>
      <c r="G1164"/>
      <c r="I1164"/>
      <c r="J1164"/>
      <c r="K1164"/>
      <c r="L1164"/>
      <c r="M1164"/>
      <c r="P1164"/>
      <c r="Q1164"/>
      <c r="R1164"/>
      <c r="S1164"/>
      <c r="T1164"/>
    </row>
    <row r="1165" spans="1:20" x14ac:dyDescent="0.25">
      <c r="A11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5" t="str">
        <f>SUBSTITUTE(SUBSTITUTE(tabSource[[#This Row],[ID]],"&lt;",""),"&gt;","")</f>
        <v>87904100</v>
      </c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</row>
    <row r="1166" spans="1:20" x14ac:dyDescent="0.25">
      <c r="A11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6" t="str">
        <f>SUBSTITUTE(SUBSTITUTE(tabSource[[#This Row],[ID]],"&lt;",""),"&gt;","")</f>
        <v>87904100-V4A</v>
      </c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</row>
    <row r="1167" spans="1:20" x14ac:dyDescent="0.25">
      <c r="A11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7" t="str">
        <f>SUBSTITUTE(SUBSTITUTE(tabSource[[#This Row],[ID]],"&lt;",""),"&gt;","")</f>
        <v>87904100-V4A-P</v>
      </c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</row>
    <row r="1168" spans="1:20" x14ac:dyDescent="0.25">
      <c r="A11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8" t="str">
        <f>SUBSTITUTE(SUBSTITUTE(tabSource[[#This Row],[ID]],"&lt;",""),"&gt;","")</f>
        <v>87904133</v>
      </c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</row>
    <row r="1169" spans="1:20" x14ac:dyDescent="0.25">
      <c r="A11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69" t="str">
        <f>SUBSTITUTE(SUBSTITUTE(tabSource[[#This Row],[ID]],"&lt;",""),"&gt;","")</f>
        <v>87904142</v>
      </c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</row>
    <row r="1170" spans="1:20" x14ac:dyDescent="0.25">
      <c r="A11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0" t="str">
        <f>SUBSTITUTE(SUBSTITUTE(tabSource[[#This Row],[ID]],"&lt;",""),"&gt;","")</f>
        <v>87904142-V4A</v>
      </c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</row>
    <row r="1171" spans="1:20" x14ac:dyDescent="0.25">
      <c r="A11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1" t="str">
        <f>SUBSTITUTE(SUBSTITUTE(tabSource[[#This Row],[ID]],"&lt;",""),"&gt;","")</f>
        <v>87904142-V4A-P</v>
      </c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</row>
    <row r="1172" spans="1:20" x14ac:dyDescent="0.25">
      <c r="A11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2" t="str">
        <f>SUBSTITUTE(SUBSTITUTE(tabSource[[#This Row],[ID]],"&lt;",""),"&gt;","")</f>
        <v>87904148</v>
      </c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</row>
    <row r="1173" spans="1:20" x14ac:dyDescent="0.25">
      <c r="A11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3" t="str">
        <f>SUBSTITUTE(SUBSTITUTE(tabSource[[#This Row],[ID]],"&lt;",""),"&gt;","")</f>
        <v>87904200</v>
      </c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</row>
    <row r="1174" spans="1:20" x14ac:dyDescent="0.25">
      <c r="A11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4" t="str">
        <f>SUBSTITUTE(SUBSTITUTE(tabSource[[#This Row],[ID]],"&lt;",""),"&gt;","")</f>
        <v>87904200-V4A</v>
      </c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</row>
    <row r="1175" spans="1:20" x14ac:dyDescent="0.25">
      <c r="A11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5" t="str">
        <f>SUBSTITUTE(SUBSTITUTE(tabSource[[#This Row],[ID]],"&lt;",""),"&gt;","")</f>
        <v>87904200-V4A-P</v>
      </c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</row>
    <row r="1176" spans="1:20" x14ac:dyDescent="0.25">
      <c r="A11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6" t="str">
        <f>SUBSTITUTE(SUBSTITUTE(tabSource[[#This Row],[ID]],"&lt;",""),"&gt;","")</f>
        <v>87904233</v>
      </c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</row>
    <row r="1177" spans="1:20" x14ac:dyDescent="0.25">
      <c r="A11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7" t="str">
        <f>SUBSTITUTE(SUBSTITUTE(tabSource[[#This Row],[ID]],"&lt;",""),"&gt;","")</f>
        <v>87904242</v>
      </c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</row>
    <row r="1178" spans="1:20" x14ac:dyDescent="0.25">
      <c r="A11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8" t="str">
        <f>SUBSTITUTE(SUBSTITUTE(tabSource[[#This Row],[ID]],"&lt;",""),"&gt;","")</f>
        <v>87904242-V4A</v>
      </c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</row>
    <row r="1179" spans="1:20" x14ac:dyDescent="0.25">
      <c r="A11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79" t="str">
        <f>SUBSTITUTE(SUBSTITUTE(tabSource[[#This Row],[ID]],"&lt;",""),"&gt;","")</f>
        <v>87904242-V4A-P</v>
      </c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</row>
    <row r="1180" spans="1:20" x14ac:dyDescent="0.25">
      <c r="A11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0" t="str">
        <f>SUBSTITUTE(SUBSTITUTE(tabSource[[#This Row],[ID]],"&lt;",""),"&gt;","")</f>
        <v>87904248</v>
      </c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</row>
    <row r="1181" spans="1:20" x14ac:dyDescent="0.25">
      <c r="A11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1" t="str">
        <f>SUBSTITUTE(SUBSTITUTE(tabSource[[#This Row],[ID]],"&lt;",""),"&gt;","")</f>
        <v>87904300</v>
      </c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</row>
    <row r="1182" spans="1:20" x14ac:dyDescent="0.25">
      <c r="A11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2" t="str">
        <f>SUBSTITUTE(SUBSTITUTE(tabSource[[#This Row],[ID]],"&lt;",""),"&gt;","")</f>
        <v>87904300-V4A</v>
      </c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</row>
    <row r="1183" spans="1:20" x14ac:dyDescent="0.25">
      <c r="A11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3" t="str">
        <f>SUBSTITUTE(SUBSTITUTE(tabSource[[#This Row],[ID]],"&lt;",""),"&gt;","")</f>
        <v>87904300-V4A-P</v>
      </c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</row>
    <row r="1184" spans="1:20" x14ac:dyDescent="0.25">
      <c r="A11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4" t="str">
        <f>SUBSTITUTE(SUBSTITUTE(tabSource[[#This Row],[ID]],"&lt;",""),"&gt;","")</f>
        <v>87904333</v>
      </c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</row>
    <row r="1185" spans="1:20" x14ac:dyDescent="0.25">
      <c r="A11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5" t="str">
        <f>SUBSTITUTE(SUBSTITUTE(tabSource[[#This Row],[ID]],"&lt;",""),"&gt;","")</f>
        <v>87904342</v>
      </c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</row>
    <row r="1186" spans="1:20" x14ac:dyDescent="0.25">
      <c r="A11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6" t="str">
        <f>SUBSTITUTE(SUBSTITUTE(tabSource[[#This Row],[ID]],"&lt;",""),"&gt;","")</f>
        <v>87904342-V4A</v>
      </c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</row>
    <row r="1187" spans="1:20" x14ac:dyDescent="0.25">
      <c r="A11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7" t="str">
        <f>SUBSTITUTE(SUBSTITUTE(tabSource[[#This Row],[ID]],"&lt;",""),"&gt;","")</f>
        <v>87904342-V4A-P</v>
      </c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</row>
    <row r="1188" spans="1:20" x14ac:dyDescent="0.25">
      <c r="A11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8" t="str">
        <f>SUBSTITUTE(SUBSTITUTE(tabSource[[#This Row],[ID]],"&lt;",""),"&gt;","")</f>
        <v>87904348</v>
      </c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</row>
    <row r="1189" spans="1:20" x14ac:dyDescent="0.25">
      <c r="A11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89" t="str">
        <f>SUBSTITUTE(SUBSTITUTE(tabSource[[#This Row],[ID]],"&lt;",""),"&gt;","")</f>
        <v>87905300</v>
      </c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</row>
    <row r="1190" spans="1:20" x14ac:dyDescent="0.25">
      <c r="A11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0" t="str">
        <f>SUBSTITUTE(SUBSTITUTE(tabSource[[#This Row],[ID]],"&lt;",""),"&gt;","")</f>
        <v>87905300-V4A</v>
      </c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</row>
    <row r="1191" spans="1:20" x14ac:dyDescent="0.25">
      <c r="A11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1" t="str">
        <f>SUBSTITUTE(SUBSTITUTE(tabSource[[#This Row],[ID]],"&lt;",""),"&gt;","")</f>
        <v>87905300-V4A-P</v>
      </c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</row>
    <row r="1192" spans="1:20" x14ac:dyDescent="0.25">
      <c r="A11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2" t="str">
        <f>SUBSTITUTE(SUBSTITUTE(tabSource[[#This Row],[ID]],"&lt;",""),"&gt;","")</f>
        <v>87905333</v>
      </c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</row>
    <row r="1193" spans="1:20" x14ac:dyDescent="0.25">
      <c r="A11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3" t="str">
        <f>SUBSTITUTE(SUBSTITUTE(tabSource[[#This Row],[ID]],"&lt;",""),"&gt;","")</f>
        <v>87905342</v>
      </c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</row>
    <row r="1194" spans="1:20" x14ac:dyDescent="0.25">
      <c r="A11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4" t="str">
        <f>SUBSTITUTE(SUBSTITUTE(tabSource[[#This Row],[ID]],"&lt;",""),"&gt;","")</f>
        <v>87905342-V4A</v>
      </c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</row>
    <row r="1195" spans="1:20" x14ac:dyDescent="0.25">
      <c r="A11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5" t="str">
        <f>SUBSTITUTE(SUBSTITUTE(tabSource[[#This Row],[ID]],"&lt;",""),"&gt;","")</f>
        <v>87905342-V4A-P</v>
      </c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</row>
    <row r="1196" spans="1:20" x14ac:dyDescent="0.25">
      <c r="A11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6" t="str">
        <f>SUBSTITUTE(SUBSTITUTE(tabSource[[#This Row],[ID]],"&lt;",""),"&gt;","")</f>
        <v>87905348</v>
      </c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</row>
    <row r="1197" spans="1:20" x14ac:dyDescent="0.25">
      <c r="A11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7" t="str">
        <f>SUBSTITUTE(SUBSTITUTE(tabSource[[#This Row],[ID]],"&lt;",""),"&gt;","")</f>
        <v>87906100</v>
      </c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</row>
    <row r="1198" spans="1:20" x14ac:dyDescent="0.25">
      <c r="A11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8" t="str">
        <f>SUBSTITUTE(SUBSTITUTE(tabSource[[#This Row],[ID]],"&lt;",""),"&gt;","")</f>
        <v>87906100-V4A</v>
      </c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</row>
    <row r="1199" spans="1:20" x14ac:dyDescent="0.25">
      <c r="A11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1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199" t="str">
        <f>SUBSTITUTE(SUBSTITUTE(tabSource[[#This Row],[ID]],"&lt;",""),"&gt;","")</f>
        <v>87906100-V4A-P</v>
      </c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</row>
    <row r="1200" spans="1:20" x14ac:dyDescent="0.25">
      <c r="A12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0" t="str">
        <f>SUBSTITUTE(SUBSTITUTE(tabSource[[#This Row],[ID]],"&lt;",""),"&gt;","")</f>
        <v>87906133</v>
      </c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</row>
    <row r="1201" spans="1:20" x14ac:dyDescent="0.25">
      <c r="A12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1" t="str">
        <f>SUBSTITUTE(SUBSTITUTE(tabSource[[#This Row],[ID]],"&lt;",""),"&gt;","")</f>
        <v>87906142</v>
      </c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</row>
    <row r="1202" spans="1:20" x14ac:dyDescent="0.25">
      <c r="A12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2" t="str">
        <f>SUBSTITUTE(SUBSTITUTE(tabSource[[#This Row],[ID]],"&lt;",""),"&gt;","")</f>
        <v>87906142-V4A</v>
      </c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</row>
    <row r="1203" spans="1:20" x14ac:dyDescent="0.25">
      <c r="A12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3" t="str">
        <f>SUBSTITUTE(SUBSTITUTE(tabSource[[#This Row],[ID]],"&lt;",""),"&gt;","")</f>
        <v>87906142-V4A-P</v>
      </c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</row>
    <row r="1204" spans="1:20" x14ac:dyDescent="0.25">
      <c r="A12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4" t="str">
        <f>SUBSTITUTE(SUBSTITUTE(tabSource[[#This Row],[ID]],"&lt;",""),"&gt;","")</f>
        <v>87906148</v>
      </c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</row>
    <row r="1205" spans="1:20" x14ac:dyDescent="0.25">
      <c r="A12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5" t="str">
        <f>SUBSTITUTE(SUBSTITUTE(tabSource[[#This Row],[ID]],"&lt;",""),"&gt;","")</f>
        <v>87906200</v>
      </c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</row>
    <row r="1206" spans="1:20" x14ac:dyDescent="0.25">
      <c r="A12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6" t="str">
        <f>SUBSTITUTE(SUBSTITUTE(tabSource[[#This Row],[ID]],"&lt;",""),"&gt;","")</f>
        <v>87906200-V4A</v>
      </c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</row>
    <row r="1207" spans="1:20" x14ac:dyDescent="0.25">
      <c r="A12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7" t="str">
        <f>SUBSTITUTE(SUBSTITUTE(tabSource[[#This Row],[ID]],"&lt;",""),"&gt;","")</f>
        <v>87906200-V4A-P</v>
      </c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</row>
    <row r="1208" spans="1:20" x14ac:dyDescent="0.25">
      <c r="A12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8" t="str">
        <f>SUBSTITUTE(SUBSTITUTE(tabSource[[#This Row],[ID]],"&lt;",""),"&gt;","")</f>
        <v>87906233</v>
      </c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</row>
    <row r="1209" spans="1:20" x14ac:dyDescent="0.25">
      <c r="A12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09" t="str">
        <f>SUBSTITUTE(SUBSTITUTE(tabSource[[#This Row],[ID]],"&lt;",""),"&gt;","")</f>
        <v>87906242</v>
      </c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</row>
    <row r="1210" spans="1:20" x14ac:dyDescent="0.25">
      <c r="A12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0" t="str">
        <f>SUBSTITUTE(SUBSTITUTE(tabSource[[#This Row],[ID]],"&lt;",""),"&gt;","")</f>
        <v>87906242-V4A</v>
      </c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</row>
    <row r="1211" spans="1:20" x14ac:dyDescent="0.25">
      <c r="A12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1" t="str">
        <f>SUBSTITUTE(SUBSTITUTE(tabSource[[#This Row],[ID]],"&lt;",""),"&gt;","")</f>
        <v>87906242-V4A-P</v>
      </c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</row>
    <row r="1212" spans="1:20" x14ac:dyDescent="0.25">
      <c r="A12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2" t="str">
        <f>SUBSTITUTE(SUBSTITUTE(tabSource[[#This Row],[ID]],"&lt;",""),"&gt;","")</f>
        <v>87906248</v>
      </c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</row>
    <row r="1213" spans="1:20" x14ac:dyDescent="0.25">
      <c r="A12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3" t="str">
        <f>SUBSTITUTE(SUBSTITUTE(tabSource[[#This Row],[ID]],"&lt;",""),"&gt;","")</f>
        <v>87906300</v>
      </c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</row>
    <row r="1214" spans="1:20" x14ac:dyDescent="0.25">
      <c r="A12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4" t="str">
        <f>SUBSTITUTE(SUBSTITUTE(tabSource[[#This Row],[ID]],"&lt;",""),"&gt;","")</f>
        <v>87906300-V4A</v>
      </c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</row>
    <row r="1215" spans="1:20" x14ac:dyDescent="0.25">
      <c r="A12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5" t="str">
        <f>SUBSTITUTE(SUBSTITUTE(tabSource[[#This Row],[ID]],"&lt;",""),"&gt;","")</f>
        <v>87906300-V4A-P</v>
      </c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</row>
    <row r="1216" spans="1:20" x14ac:dyDescent="0.25">
      <c r="A12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6" t="str">
        <f>SUBSTITUTE(SUBSTITUTE(tabSource[[#This Row],[ID]],"&lt;",""),"&gt;","")</f>
        <v>87906333</v>
      </c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</row>
    <row r="1217" spans="1:20" x14ac:dyDescent="0.25">
      <c r="A12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7" t="str">
        <f>SUBSTITUTE(SUBSTITUTE(tabSource[[#This Row],[ID]],"&lt;",""),"&gt;","")</f>
        <v>87906342</v>
      </c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</row>
    <row r="1218" spans="1:20" x14ac:dyDescent="0.25">
      <c r="A12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8" t="str">
        <f>SUBSTITUTE(SUBSTITUTE(tabSource[[#This Row],[ID]],"&lt;",""),"&gt;","")</f>
        <v>87906342-V4A</v>
      </c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</row>
    <row r="1219" spans="1:20" x14ac:dyDescent="0.25">
      <c r="A12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19" t="str">
        <f>SUBSTITUTE(SUBSTITUTE(tabSource[[#This Row],[ID]],"&lt;",""),"&gt;","")</f>
        <v>87906342-V4A-P</v>
      </c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</row>
    <row r="1220" spans="1:20" x14ac:dyDescent="0.25">
      <c r="A12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0" t="str">
        <f>SUBSTITUTE(SUBSTITUTE(tabSource[[#This Row],[ID]],"&lt;",""),"&gt;","")</f>
        <v>87906348</v>
      </c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</row>
    <row r="1221" spans="1:20" x14ac:dyDescent="0.25">
      <c r="A12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1" t="str">
        <f>SUBSTITUTE(SUBSTITUTE(tabSource[[#This Row],[ID]],"&lt;",""),"&gt;","")</f>
        <v>CS001002</v>
      </c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</row>
    <row r="1222" spans="1:20" x14ac:dyDescent="0.25">
      <c r="A12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2" t="str">
        <f>SUBSTITUTE(SUBSTITUTE(tabSource[[#This Row],[ID]],"&lt;",""),"&gt;","")</f>
        <v>CX900100</v>
      </c>
      <c r="D1222"/>
      <c r="E1222"/>
      <c r="F1222"/>
      <c r="G1222"/>
      <c r="H1222"/>
      <c r="I1222"/>
      <c r="J1222"/>
      <c r="K1222"/>
      <c r="L1222"/>
      <c r="M1222"/>
      <c r="N1222"/>
      <c r="Q1222"/>
      <c r="R1222"/>
      <c r="S1222"/>
      <c r="T1222"/>
    </row>
    <row r="1223" spans="1:20" x14ac:dyDescent="0.25">
      <c r="A12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3" t="str">
        <f>SUBSTITUTE(SUBSTITUTE(tabSource[[#This Row],[ID]],"&lt;",""),"&gt;","")</f>
        <v>CX900142</v>
      </c>
      <c r="D1223"/>
      <c r="E1223"/>
      <c r="F1223"/>
      <c r="G1223"/>
      <c r="H1223"/>
      <c r="I1223"/>
      <c r="J1223"/>
      <c r="K1223"/>
      <c r="L1223"/>
      <c r="M1223"/>
      <c r="N1223"/>
      <c r="Q1223"/>
      <c r="R1223"/>
      <c r="S1223"/>
      <c r="T1223"/>
    </row>
    <row r="1224" spans="1:20" x14ac:dyDescent="0.25">
      <c r="A12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4" t="str">
        <f>SUBSTITUTE(SUBSTITUTE(tabSource[[#This Row],[ID]],"&lt;",""),"&gt;","")</f>
        <v>CX900200</v>
      </c>
      <c r="D1224"/>
      <c r="E1224"/>
      <c r="F1224"/>
      <c r="G1224"/>
      <c r="H1224"/>
      <c r="I1224"/>
      <c r="J1224"/>
      <c r="K1224"/>
      <c r="L1224"/>
      <c r="M1224"/>
      <c r="N1224"/>
      <c r="Q1224"/>
      <c r="R1224"/>
      <c r="S1224"/>
      <c r="T1224"/>
    </row>
    <row r="1225" spans="1:20" x14ac:dyDescent="0.25">
      <c r="A12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5" t="str">
        <f>SUBSTITUTE(SUBSTITUTE(tabSource[[#This Row],[ID]],"&lt;",""),"&gt;","")</f>
        <v>CX900242</v>
      </c>
      <c r="D1225"/>
      <c r="E1225"/>
      <c r="F1225"/>
      <c r="G1225"/>
      <c r="H1225"/>
      <c r="I1225"/>
      <c r="J1225"/>
      <c r="K1225"/>
      <c r="L1225"/>
      <c r="M1225"/>
      <c r="N1225"/>
      <c r="Q1225"/>
      <c r="R1225"/>
      <c r="S1225"/>
      <c r="T1225"/>
    </row>
    <row r="1226" spans="1:20" x14ac:dyDescent="0.25">
      <c r="A12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6" t="str">
        <f>SUBSTITUTE(SUBSTITUTE(tabSource[[#This Row],[ID]],"&lt;",""),"&gt;","")</f>
        <v>E10001850</v>
      </c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</row>
    <row r="1227" spans="1:20" x14ac:dyDescent="0.25">
      <c r="A12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7" t="str">
        <f>SUBSTITUTE(SUBSTITUTE(tabSource[[#This Row],[ID]],"&lt;",""),"&gt;","")</f>
        <v>E10001950</v>
      </c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</row>
    <row r="1228" spans="1:20" x14ac:dyDescent="0.25">
      <c r="A12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8" t="str">
        <f>SUBSTITUTE(SUBSTITUTE(tabSource[[#This Row],[ID]],"&lt;",""),"&gt;","")</f>
        <v>E10002050</v>
      </c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</row>
    <row r="1229" spans="1:20" x14ac:dyDescent="0.25">
      <c r="A12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29" t="str">
        <f>SUBSTITUTE(SUBSTITUTE(tabSource[[#This Row],[ID]],"&lt;",""),"&gt;","")</f>
        <v>E10002150</v>
      </c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</row>
    <row r="1230" spans="1:20" x14ac:dyDescent="0.25">
      <c r="A12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0" t="str">
        <f>SUBSTITUTE(SUBSTITUTE(tabSource[[#This Row],[ID]],"&lt;",""),"&gt;","")</f>
        <v>E10002250</v>
      </c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</row>
    <row r="1231" spans="1:20" x14ac:dyDescent="0.25">
      <c r="A12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1" t="str">
        <f>SUBSTITUTE(SUBSTITUTE(tabSource[[#This Row],[ID]],"&lt;",""),"&gt;","")</f>
        <v>E1001000</v>
      </c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</row>
    <row r="1232" spans="1:20" x14ac:dyDescent="0.25">
      <c r="A12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2" t="str">
        <f>SUBSTITUTE(SUBSTITUTE(tabSource[[#This Row],[ID]],"&lt;",""),"&gt;","")</f>
        <v>E1001020</v>
      </c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</row>
    <row r="1233" spans="1:20" x14ac:dyDescent="0.25">
      <c r="A12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3" t="str">
        <f>SUBSTITUTE(SUBSTITUTE(tabSource[[#This Row],[ID]],"&lt;",""),"&gt;","")</f>
        <v>E1001040</v>
      </c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</row>
    <row r="1234" spans="1:20" x14ac:dyDescent="0.25">
      <c r="A12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4" t="str">
        <f>SUBSTITUTE(SUBSTITUTE(tabSource[[#This Row],[ID]],"&lt;",""),"&gt;","")</f>
        <v>E1001050</v>
      </c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</row>
    <row r="1235" spans="1:20" x14ac:dyDescent="0.25">
      <c r="A12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5" t="str">
        <f>SUBSTITUTE(SUBSTITUTE(tabSource[[#This Row],[ID]],"&lt;",""),"&gt;","")</f>
        <v>E1001051</v>
      </c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</row>
    <row r="1236" spans="1:20" x14ac:dyDescent="0.25">
      <c r="A12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6" t="str">
        <f>SUBSTITUTE(SUBSTITUTE(tabSource[[#This Row],[ID]],"&lt;",""),"&gt;","")</f>
        <v>E1001100</v>
      </c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</row>
    <row r="1237" spans="1:20" x14ac:dyDescent="0.25">
      <c r="A12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7" t="str">
        <f>SUBSTITUTE(SUBSTITUTE(tabSource[[#This Row],[ID]],"&lt;",""),"&gt;","")</f>
        <v>E1001120</v>
      </c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</row>
    <row r="1238" spans="1:20" x14ac:dyDescent="0.25">
      <c r="A12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8" t="str">
        <f>SUBSTITUTE(SUBSTITUTE(tabSource[[#This Row],[ID]],"&lt;",""),"&gt;","")</f>
        <v>E1001140</v>
      </c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</row>
    <row r="1239" spans="1:20" x14ac:dyDescent="0.25">
      <c r="A12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39" t="str">
        <f>SUBSTITUTE(SUBSTITUTE(tabSource[[#This Row],[ID]],"&lt;",""),"&gt;","")</f>
        <v>E1001150</v>
      </c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</row>
    <row r="1240" spans="1:20" x14ac:dyDescent="0.25">
      <c r="A12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0" t="str">
        <f>SUBSTITUTE(SUBSTITUTE(tabSource[[#This Row],[ID]],"&lt;",""),"&gt;","")</f>
        <v>E1001151</v>
      </c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</row>
    <row r="1241" spans="1:20" x14ac:dyDescent="0.25">
      <c r="A12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1" t="str">
        <f>SUBSTITUTE(SUBSTITUTE(tabSource[[#This Row],[ID]],"&lt;",""),"&gt;","")</f>
        <v>E1001200</v>
      </c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</row>
    <row r="1242" spans="1:20" x14ac:dyDescent="0.25">
      <c r="A12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2" t="str">
        <f>SUBSTITUTE(SUBSTITUTE(tabSource[[#This Row],[ID]],"&lt;",""),"&gt;","")</f>
        <v>E1001220</v>
      </c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</row>
    <row r="1243" spans="1:20" x14ac:dyDescent="0.25">
      <c r="A12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3" t="str">
        <f>SUBSTITUTE(SUBSTITUTE(tabSource[[#This Row],[ID]],"&lt;",""),"&gt;","")</f>
        <v>E1001240</v>
      </c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</row>
    <row r="1244" spans="1:20" x14ac:dyDescent="0.25">
      <c r="A12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4" t="str">
        <f>SUBSTITUTE(SUBSTITUTE(tabSource[[#This Row],[ID]],"&lt;",""),"&gt;","")</f>
        <v>E1001250</v>
      </c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</row>
    <row r="1245" spans="1:20" x14ac:dyDescent="0.25">
      <c r="A12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5" t="str">
        <f>SUBSTITUTE(SUBSTITUTE(tabSource[[#This Row],[ID]],"&lt;",""),"&gt;","")</f>
        <v>E1001251</v>
      </c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</row>
    <row r="1246" spans="1:20" x14ac:dyDescent="0.25">
      <c r="A12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6" t="str">
        <f>SUBSTITUTE(SUBSTITUTE(tabSource[[#This Row],[ID]],"&lt;",""),"&gt;","")</f>
        <v>E1001300</v>
      </c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</row>
    <row r="1247" spans="1:20" x14ac:dyDescent="0.25">
      <c r="A12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7" t="str">
        <f>SUBSTITUTE(SUBSTITUTE(tabSource[[#This Row],[ID]],"&lt;",""),"&gt;","")</f>
        <v>E1001320</v>
      </c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</row>
    <row r="1248" spans="1:20" x14ac:dyDescent="0.25">
      <c r="A12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8" t="str">
        <f>SUBSTITUTE(SUBSTITUTE(tabSource[[#This Row],[ID]],"&lt;",""),"&gt;","")</f>
        <v>E1001340</v>
      </c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</row>
    <row r="1249" spans="1:20" x14ac:dyDescent="0.25">
      <c r="A12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49" t="str">
        <f>SUBSTITUTE(SUBSTITUTE(tabSource[[#This Row],[ID]],"&lt;",""),"&gt;","")</f>
        <v>E1001350</v>
      </c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</row>
    <row r="1250" spans="1:20" x14ac:dyDescent="0.25">
      <c r="A12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0" t="str">
        <f>SUBSTITUTE(SUBSTITUTE(tabSource[[#This Row],[ID]],"&lt;",""),"&gt;","")</f>
        <v>E1001351</v>
      </c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</row>
    <row r="1251" spans="1:20" x14ac:dyDescent="0.25">
      <c r="A12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1" t="str">
        <f>SUBSTITUTE(SUBSTITUTE(tabSource[[#This Row],[ID]],"&lt;",""),"&gt;","")</f>
        <v>E1001400</v>
      </c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</row>
    <row r="1252" spans="1:20" x14ac:dyDescent="0.25">
      <c r="A12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2" t="str">
        <f>SUBSTITUTE(SUBSTITUTE(tabSource[[#This Row],[ID]],"&lt;",""),"&gt;","")</f>
        <v>E1001420</v>
      </c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</row>
    <row r="1253" spans="1:20" x14ac:dyDescent="0.25">
      <c r="A12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3" t="str">
        <f>SUBSTITUTE(SUBSTITUTE(tabSource[[#This Row],[ID]],"&lt;",""),"&gt;","")</f>
        <v>E1001440</v>
      </c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</row>
    <row r="1254" spans="1:20" x14ac:dyDescent="0.25">
      <c r="A12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4" t="str">
        <f>SUBSTITUTE(SUBSTITUTE(tabSource[[#This Row],[ID]],"&lt;",""),"&gt;","")</f>
        <v>E1001450</v>
      </c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</row>
    <row r="1255" spans="1:20" x14ac:dyDescent="0.25">
      <c r="A12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5" t="str">
        <f>SUBSTITUTE(SUBSTITUTE(tabSource[[#This Row],[ID]],"&lt;",""),"&gt;","")</f>
        <v>E1001451</v>
      </c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</row>
    <row r="1256" spans="1:20" x14ac:dyDescent="0.25">
      <c r="A12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6" t="str">
        <f>SUBSTITUTE(SUBSTITUTE(tabSource[[#This Row],[ID]],"&lt;",""),"&gt;","")</f>
        <v>E1001700</v>
      </c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</row>
    <row r="1257" spans="1:20" x14ac:dyDescent="0.25">
      <c r="A12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7" t="str">
        <f>SUBSTITUTE(SUBSTITUTE(tabSource[[#This Row],[ID]],"&lt;",""),"&gt;","")</f>
        <v>E1001720</v>
      </c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</row>
    <row r="1258" spans="1:20" x14ac:dyDescent="0.25">
      <c r="A12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8" t="str">
        <f>SUBSTITUTE(SUBSTITUTE(tabSource[[#This Row],[ID]],"&lt;",""),"&gt;","")</f>
        <v>E1001740</v>
      </c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</row>
    <row r="1259" spans="1:20" x14ac:dyDescent="0.25">
      <c r="A12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59" t="str">
        <f>SUBSTITUTE(SUBSTITUTE(tabSource[[#This Row],[ID]],"&lt;",""),"&gt;","")</f>
        <v>E1001750</v>
      </c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</row>
    <row r="1260" spans="1:20" x14ac:dyDescent="0.25">
      <c r="A12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0" t="str">
        <f>SUBSTITUTE(SUBSTITUTE(tabSource[[#This Row],[ID]],"&lt;",""),"&gt;","")</f>
        <v>E1001751</v>
      </c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</row>
    <row r="1261" spans="1:20" x14ac:dyDescent="0.25">
      <c r="A12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1" t="str">
        <f>SUBSTITUTE(SUBSTITUTE(tabSource[[#This Row],[ID]],"&lt;",""),"&gt;","")</f>
        <v>E1001800</v>
      </c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</row>
    <row r="1262" spans="1:20" x14ac:dyDescent="0.25">
      <c r="A12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2" t="str">
        <f>SUBSTITUTE(SUBSTITUTE(tabSource[[#This Row],[ID]],"&lt;",""),"&gt;","")</f>
        <v>E1001820</v>
      </c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</row>
    <row r="1263" spans="1:20" x14ac:dyDescent="0.25">
      <c r="A12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3" t="str">
        <f>SUBSTITUTE(SUBSTITUTE(tabSource[[#This Row],[ID]],"&lt;",""),"&gt;","")</f>
        <v>E1001840</v>
      </c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</row>
    <row r="1264" spans="1:20" x14ac:dyDescent="0.25">
      <c r="A12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4" t="str">
        <f>SUBSTITUTE(SUBSTITUTE(tabSource[[#This Row],[ID]],"&lt;",""),"&gt;","")</f>
        <v>E1001850</v>
      </c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</row>
    <row r="1265" spans="1:20" x14ac:dyDescent="0.25">
      <c r="A12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5" t="str">
        <f>SUBSTITUTE(SUBSTITUTE(tabSource[[#This Row],[ID]],"&lt;",""),"&gt;","")</f>
        <v>E1001851</v>
      </c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</row>
    <row r="1266" spans="1:20" x14ac:dyDescent="0.25">
      <c r="A12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6" t="str">
        <f>SUBSTITUTE(SUBSTITUTE(tabSource[[#This Row],[ID]],"&lt;",""),"&gt;","")</f>
        <v>E10421850</v>
      </c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</row>
    <row r="1267" spans="1:20" x14ac:dyDescent="0.25">
      <c r="A12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7" t="str">
        <f>SUBSTITUTE(SUBSTITUTE(tabSource[[#This Row],[ID]],"&lt;",""),"&gt;","")</f>
        <v>E10421950</v>
      </c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</row>
    <row r="1268" spans="1:20" x14ac:dyDescent="0.25">
      <c r="A12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8" t="str">
        <f>SUBSTITUTE(SUBSTITUTE(tabSource[[#This Row],[ID]],"&lt;",""),"&gt;","")</f>
        <v>E10422050</v>
      </c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</row>
    <row r="1269" spans="1:20" x14ac:dyDescent="0.25">
      <c r="A12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69" t="str">
        <f>SUBSTITUTE(SUBSTITUTE(tabSource[[#This Row],[ID]],"&lt;",""),"&gt;","")</f>
        <v>E10422150</v>
      </c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</row>
    <row r="1270" spans="1:20" x14ac:dyDescent="0.25">
      <c r="A12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0" t="str">
        <f>SUBSTITUTE(SUBSTITUTE(tabSource[[#This Row],[ID]],"&lt;",""),"&gt;","")</f>
        <v>E10422250</v>
      </c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</row>
    <row r="1271" spans="1:20" x14ac:dyDescent="0.25">
      <c r="A12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1" t="str">
        <f>SUBSTITUTE(SUBSTITUTE(tabSource[[#This Row],[ID]],"&lt;",""),"&gt;","")</f>
        <v>E11002150</v>
      </c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</row>
    <row r="1272" spans="1:20" x14ac:dyDescent="0.25">
      <c r="A12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2" t="str">
        <f>SUBSTITUTE(SUBSTITUTE(tabSource[[#This Row],[ID]],"&lt;",""),"&gt;","")</f>
        <v>E11002250</v>
      </c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</row>
    <row r="1273" spans="1:20" x14ac:dyDescent="0.25">
      <c r="A12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3" t="str">
        <f>SUBSTITUTE(SUBSTITUTE(tabSource[[#This Row],[ID]],"&lt;",""),"&gt;","")</f>
        <v>E11482150</v>
      </c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</row>
    <row r="1274" spans="1:20" x14ac:dyDescent="0.25">
      <c r="A12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4" t="str">
        <f>SUBSTITUTE(SUBSTITUTE(tabSource[[#This Row],[ID]],"&lt;",""),"&gt;","")</f>
        <v>E11482250</v>
      </c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</row>
    <row r="1275" spans="1:20" x14ac:dyDescent="0.25">
      <c r="A12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5" t="str">
        <f>SUBSTITUTE(SUBSTITUTE(tabSource[[#This Row],[ID]],"&lt;",""),"&gt;","")</f>
        <v>E11602150</v>
      </c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</row>
    <row r="1276" spans="1:20" x14ac:dyDescent="0.25">
      <c r="A12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6" t="str">
        <f>SUBSTITUTE(SUBSTITUTE(tabSource[[#This Row],[ID]],"&lt;",""),"&gt;","")</f>
        <v>E11602250</v>
      </c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</row>
    <row r="1277" spans="1:20" x14ac:dyDescent="0.25">
      <c r="A12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7" t="str">
        <f>SUBSTITUTE(SUBSTITUTE(tabSource[[#This Row],[ID]],"&lt;",""),"&gt;","")</f>
        <v>E1481000</v>
      </c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</row>
    <row r="1278" spans="1:20" x14ac:dyDescent="0.25">
      <c r="A12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8" t="str">
        <f>SUBSTITUTE(SUBSTITUTE(tabSource[[#This Row],[ID]],"&lt;",""),"&gt;","")</f>
        <v>E1481020</v>
      </c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</row>
    <row r="1279" spans="1:20" x14ac:dyDescent="0.25">
      <c r="A12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79" t="str">
        <f>SUBSTITUTE(SUBSTITUTE(tabSource[[#This Row],[ID]],"&lt;",""),"&gt;","")</f>
        <v>E1481040</v>
      </c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</row>
    <row r="1280" spans="1:20" x14ac:dyDescent="0.25">
      <c r="A12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0" t="str">
        <f>SUBSTITUTE(SUBSTITUTE(tabSource[[#This Row],[ID]],"&lt;",""),"&gt;","")</f>
        <v>E1481050</v>
      </c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</row>
    <row r="1281" spans="1:20" x14ac:dyDescent="0.25">
      <c r="A12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1" t="str">
        <f>SUBSTITUTE(SUBSTITUTE(tabSource[[#This Row],[ID]],"&lt;",""),"&gt;","")</f>
        <v>E1481051</v>
      </c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</row>
    <row r="1282" spans="1:20" x14ac:dyDescent="0.25">
      <c r="A12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2" t="str">
        <f>SUBSTITUTE(SUBSTITUTE(tabSource[[#This Row],[ID]],"&lt;",""),"&gt;","")</f>
        <v>E1481100</v>
      </c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</row>
    <row r="1283" spans="1:20" x14ac:dyDescent="0.25">
      <c r="A12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3" t="str">
        <f>SUBSTITUTE(SUBSTITUTE(tabSource[[#This Row],[ID]],"&lt;",""),"&gt;","")</f>
        <v>E1481120</v>
      </c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</row>
    <row r="1284" spans="1:20" x14ac:dyDescent="0.25">
      <c r="A12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4" t="str">
        <f>SUBSTITUTE(SUBSTITUTE(tabSource[[#This Row],[ID]],"&lt;",""),"&gt;","")</f>
        <v>E1481140</v>
      </c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</row>
    <row r="1285" spans="1:20" x14ac:dyDescent="0.25">
      <c r="A12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5" t="str">
        <f>SUBSTITUTE(SUBSTITUTE(tabSource[[#This Row],[ID]],"&lt;",""),"&gt;","")</f>
        <v>E1481150</v>
      </c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</row>
    <row r="1286" spans="1:20" x14ac:dyDescent="0.25">
      <c r="A12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6" t="str">
        <f>SUBSTITUTE(SUBSTITUTE(tabSource[[#This Row],[ID]],"&lt;",""),"&gt;","")</f>
        <v>E1481151</v>
      </c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</row>
    <row r="1287" spans="1:20" x14ac:dyDescent="0.25">
      <c r="A12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7" t="str">
        <f>SUBSTITUTE(SUBSTITUTE(tabSource[[#This Row],[ID]],"&lt;",""),"&gt;","")</f>
        <v>E1481200</v>
      </c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</row>
    <row r="1288" spans="1:20" x14ac:dyDescent="0.25">
      <c r="A12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8" t="str">
        <f>SUBSTITUTE(SUBSTITUTE(tabSource[[#This Row],[ID]],"&lt;",""),"&gt;","")</f>
        <v>E1481220</v>
      </c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</row>
    <row r="1289" spans="1:20" x14ac:dyDescent="0.25">
      <c r="A12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89" t="str">
        <f>SUBSTITUTE(SUBSTITUTE(tabSource[[#This Row],[ID]],"&lt;",""),"&gt;","")</f>
        <v>E1481240</v>
      </c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</row>
    <row r="1290" spans="1:20" x14ac:dyDescent="0.25">
      <c r="A12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0" t="str">
        <f>SUBSTITUTE(SUBSTITUTE(tabSource[[#This Row],[ID]],"&lt;",""),"&gt;","")</f>
        <v>E1481250</v>
      </c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</row>
    <row r="1291" spans="1:20" x14ac:dyDescent="0.25">
      <c r="A12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1" t="str">
        <f>SUBSTITUTE(SUBSTITUTE(tabSource[[#This Row],[ID]],"&lt;",""),"&gt;","")</f>
        <v>E1481251</v>
      </c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</row>
    <row r="1292" spans="1:20" x14ac:dyDescent="0.25">
      <c r="A12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2" t="str">
        <f>SUBSTITUTE(SUBSTITUTE(tabSource[[#This Row],[ID]],"&lt;",""),"&gt;","")</f>
        <v>E1481300</v>
      </c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</row>
    <row r="1293" spans="1:20" x14ac:dyDescent="0.25">
      <c r="A12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3" t="str">
        <f>SUBSTITUTE(SUBSTITUTE(tabSource[[#This Row],[ID]],"&lt;",""),"&gt;","")</f>
        <v>E1481320</v>
      </c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</row>
    <row r="1294" spans="1:20" x14ac:dyDescent="0.25">
      <c r="A12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4" t="str">
        <f>SUBSTITUTE(SUBSTITUTE(tabSource[[#This Row],[ID]],"&lt;",""),"&gt;","")</f>
        <v>E1481340</v>
      </c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</row>
    <row r="1295" spans="1:20" x14ac:dyDescent="0.25">
      <c r="A12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5" t="str">
        <f>SUBSTITUTE(SUBSTITUTE(tabSource[[#This Row],[ID]],"&lt;",""),"&gt;","")</f>
        <v>E1481350</v>
      </c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</row>
    <row r="1296" spans="1:20" x14ac:dyDescent="0.25">
      <c r="A12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6" t="str">
        <f>SUBSTITUTE(SUBSTITUTE(tabSource[[#This Row],[ID]],"&lt;",""),"&gt;","")</f>
        <v>E1481351</v>
      </c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</row>
    <row r="1297" spans="1:20" x14ac:dyDescent="0.25">
      <c r="A12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7" t="str">
        <f>SUBSTITUTE(SUBSTITUTE(tabSource[[#This Row],[ID]],"&lt;",""),"&gt;","")</f>
        <v>E1481400</v>
      </c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</row>
    <row r="1298" spans="1:20" x14ac:dyDescent="0.25">
      <c r="A12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8" t="str">
        <f>SUBSTITUTE(SUBSTITUTE(tabSource[[#This Row],[ID]],"&lt;",""),"&gt;","")</f>
        <v>E1481420</v>
      </c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</row>
    <row r="1299" spans="1:20" x14ac:dyDescent="0.25">
      <c r="A12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2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299" t="str">
        <f>SUBSTITUTE(SUBSTITUTE(tabSource[[#This Row],[ID]],"&lt;",""),"&gt;","")</f>
        <v>E1481440</v>
      </c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</row>
    <row r="1300" spans="1:20" x14ac:dyDescent="0.25">
      <c r="A13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0" t="str">
        <f>SUBSTITUTE(SUBSTITUTE(tabSource[[#This Row],[ID]],"&lt;",""),"&gt;","")</f>
        <v>E1481450</v>
      </c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</row>
    <row r="1301" spans="1:20" x14ac:dyDescent="0.25">
      <c r="A13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1" t="str">
        <f>SUBSTITUTE(SUBSTITUTE(tabSource[[#This Row],[ID]],"&lt;",""),"&gt;","")</f>
        <v>E1481451</v>
      </c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</row>
    <row r="1302" spans="1:20" x14ac:dyDescent="0.25">
      <c r="A13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2" t="str">
        <f>SUBSTITUTE(SUBSTITUTE(tabSource[[#This Row],[ID]],"&lt;",""),"&gt;","")</f>
        <v>E1481700</v>
      </c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</row>
    <row r="1303" spans="1:20" x14ac:dyDescent="0.25">
      <c r="A13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3" t="str">
        <f>SUBSTITUTE(SUBSTITUTE(tabSource[[#This Row],[ID]],"&lt;",""),"&gt;","")</f>
        <v>E1481720</v>
      </c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</row>
    <row r="1304" spans="1:20" x14ac:dyDescent="0.25">
      <c r="A13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4" t="str">
        <f>SUBSTITUTE(SUBSTITUTE(tabSource[[#This Row],[ID]],"&lt;",""),"&gt;","")</f>
        <v>E1481740</v>
      </c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</row>
    <row r="1305" spans="1:20" x14ac:dyDescent="0.25">
      <c r="A13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5" t="str">
        <f>SUBSTITUTE(SUBSTITUTE(tabSource[[#This Row],[ID]],"&lt;",""),"&gt;","")</f>
        <v>E1481750</v>
      </c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</row>
    <row r="1306" spans="1:20" x14ac:dyDescent="0.25">
      <c r="A13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6" t="str">
        <f>SUBSTITUTE(SUBSTITUTE(tabSource[[#This Row],[ID]],"&lt;",""),"&gt;","")</f>
        <v>E1481751</v>
      </c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</row>
    <row r="1307" spans="1:20" x14ac:dyDescent="0.25">
      <c r="A13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7" t="str">
        <f>SUBSTITUTE(SUBSTITUTE(tabSource[[#This Row],[ID]],"&lt;",""),"&gt;","")</f>
        <v>E1481800</v>
      </c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</row>
    <row r="1308" spans="1:20" x14ac:dyDescent="0.25">
      <c r="A13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8" t="str">
        <f>SUBSTITUTE(SUBSTITUTE(tabSource[[#This Row],[ID]],"&lt;",""),"&gt;","")</f>
        <v>E1481820</v>
      </c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</row>
    <row r="1309" spans="1:20" x14ac:dyDescent="0.25">
      <c r="A13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09" t="str">
        <f>SUBSTITUTE(SUBSTITUTE(tabSource[[#This Row],[ID]],"&lt;",""),"&gt;","")</f>
        <v>E1481840</v>
      </c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</row>
    <row r="1310" spans="1:20" x14ac:dyDescent="0.25">
      <c r="A13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0" t="str">
        <f>SUBSTITUTE(SUBSTITUTE(tabSource[[#This Row],[ID]],"&lt;",""),"&gt;","")</f>
        <v>E1481850</v>
      </c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</row>
    <row r="1311" spans="1:20" x14ac:dyDescent="0.25">
      <c r="A13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1" t="str">
        <f>SUBSTITUTE(SUBSTITUTE(tabSource[[#This Row],[ID]],"&lt;",""),"&gt;","")</f>
        <v>E1481851</v>
      </c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</row>
    <row r="1312" spans="1:20" x14ac:dyDescent="0.25">
      <c r="A13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2" t="str">
        <f>SUBSTITUTE(SUBSTITUTE(tabSource[[#This Row],[ID]],"&lt;",""),"&gt;","")</f>
        <v>E20001840</v>
      </c>
      <c r="D1312"/>
      <c r="E1312"/>
      <c r="F1312"/>
      <c r="G1312"/>
      <c r="I1312"/>
      <c r="J1312"/>
      <c r="K1312"/>
      <c r="L1312"/>
      <c r="M1312"/>
      <c r="O1312"/>
      <c r="P1312"/>
      <c r="Q1312"/>
      <c r="R1312"/>
      <c r="S1312"/>
      <c r="T1312"/>
    </row>
    <row r="1313" spans="1:20" x14ac:dyDescent="0.25">
      <c r="A13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3" t="str">
        <f>SUBSTITUTE(SUBSTITUTE(tabSource[[#This Row],[ID]],"&lt;",""),"&gt;","")</f>
        <v>E2000850</v>
      </c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</row>
    <row r="1314" spans="1:20" x14ac:dyDescent="0.25">
      <c r="A13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4" t="str">
        <f>SUBSTITUTE(SUBSTITUTE(tabSource[[#This Row],[ID]],"&lt;",""),"&gt;","")</f>
        <v>E2000950</v>
      </c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</row>
    <row r="1315" spans="1:20" x14ac:dyDescent="0.25">
      <c r="A13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5" t="str">
        <f>SUBSTITUTE(SUBSTITUTE(tabSource[[#This Row],[ID]],"&lt;",""),"&gt;","")</f>
        <v>E2001050</v>
      </c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</row>
    <row r="1316" spans="1:20" x14ac:dyDescent="0.25">
      <c r="A13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6" t="str">
        <f>SUBSTITUTE(SUBSTITUTE(tabSource[[#This Row],[ID]],"&lt;",""),"&gt;","")</f>
        <v>E2001150</v>
      </c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</row>
    <row r="1317" spans="1:20" x14ac:dyDescent="0.25">
      <c r="A13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7" t="str">
        <f>SUBSTITUTE(SUBSTITUTE(tabSource[[#This Row],[ID]],"&lt;",""),"&gt;","")</f>
        <v>E2001250</v>
      </c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</row>
    <row r="1318" spans="1:20" x14ac:dyDescent="0.25">
      <c r="A13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8" t="str">
        <f>SUBSTITUTE(SUBSTITUTE(tabSource[[#This Row],[ID]],"&lt;",""),"&gt;","")</f>
        <v>E2001350</v>
      </c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</row>
    <row r="1319" spans="1:20" x14ac:dyDescent="0.25">
      <c r="A13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19" t="str">
        <f>SUBSTITUTE(SUBSTITUTE(tabSource[[#This Row],[ID]],"&lt;",""),"&gt;","")</f>
        <v>E20421840</v>
      </c>
      <c r="D1319"/>
      <c r="E1319"/>
      <c r="F1319"/>
      <c r="G1319"/>
      <c r="I1319"/>
      <c r="J1319"/>
      <c r="K1319"/>
      <c r="L1319"/>
      <c r="M1319"/>
      <c r="O1319"/>
      <c r="P1319"/>
      <c r="Q1319"/>
      <c r="R1319"/>
      <c r="S1319"/>
      <c r="T1319"/>
    </row>
    <row r="1320" spans="1:20" x14ac:dyDescent="0.25">
      <c r="A13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0" t="str">
        <f>SUBSTITUTE(SUBSTITUTE(tabSource[[#This Row],[ID]],"&lt;",""),"&gt;","")</f>
        <v>E21001840</v>
      </c>
      <c r="D1320"/>
      <c r="E1320"/>
      <c r="F1320"/>
      <c r="G1320"/>
      <c r="I1320"/>
      <c r="J1320"/>
      <c r="K1320"/>
      <c r="L1320"/>
      <c r="M1320"/>
      <c r="O1320"/>
      <c r="P1320"/>
      <c r="Q1320"/>
      <c r="R1320"/>
      <c r="S1320"/>
      <c r="T1320"/>
    </row>
    <row r="1321" spans="1:20" x14ac:dyDescent="0.25">
      <c r="A13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1" t="str">
        <f>SUBSTITUTE(SUBSTITUTE(tabSource[[#This Row],[ID]],"&lt;",""),"&gt;","")</f>
        <v>E21421840</v>
      </c>
      <c r="D1321"/>
      <c r="E1321"/>
      <c r="F1321"/>
      <c r="G1321"/>
      <c r="I1321"/>
      <c r="J1321"/>
      <c r="K1321"/>
      <c r="L1321"/>
      <c r="M1321"/>
      <c r="O1321"/>
      <c r="P1321"/>
      <c r="Q1321"/>
      <c r="R1321"/>
      <c r="S1321"/>
      <c r="T1321"/>
    </row>
    <row r="1322" spans="1:20" x14ac:dyDescent="0.25">
      <c r="A13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2" t="str">
        <f>SUBSTITUTE(SUBSTITUTE(tabSource[[#This Row],[ID]],"&lt;",""),"&gt;","")</f>
        <v>E22001840</v>
      </c>
      <c r="D1322"/>
      <c r="E1322"/>
      <c r="F1322"/>
      <c r="G1322"/>
      <c r="I1322"/>
      <c r="J1322"/>
      <c r="K1322"/>
      <c r="L1322"/>
      <c r="M1322"/>
      <c r="O1322"/>
      <c r="P1322"/>
      <c r="Q1322"/>
      <c r="R1322"/>
      <c r="S1322"/>
      <c r="T1322"/>
    </row>
    <row r="1323" spans="1:20" x14ac:dyDescent="0.25">
      <c r="A13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3" t="str">
        <f>SUBSTITUTE(SUBSTITUTE(tabSource[[#This Row],[ID]],"&lt;",""),"&gt;","")</f>
        <v>E22421840</v>
      </c>
      <c r="D1323"/>
      <c r="E1323"/>
      <c r="F1323"/>
      <c r="G1323"/>
      <c r="I1323"/>
      <c r="J1323"/>
      <c r="K1323"/>
      <c r="L1323"/>
      <c r="M1323"/>
      <c r="O1323"/>
      <c r="P1323"/>
      <c r="Q1323"/>
      <c r="R1323"/>
      <c r="S1323"/>
      <c r="T1323"/>
    </row>
    <row r="1324" spans="1:20" x14ac:dyDescent="0.25">
      <c r="A13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4" t="str">
        <f>SUBSTITUTE(SUBSTITUTE(tabSource[[#This Row],[ID]],"&lt;",""),"&gt;","")</f>
        <v>E2420850</v>
      </c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</row>
    <row r="1325" spans="1:20" x14ac:dyDescent="0.25">
      <c r="A13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5" t="str">
        <f>SUBSTITUTE(SUBSTITUTE(tabSource[[#This Row],[ID]],"&lt;",""),"&gt;","")</f>
        <v>E2420950</v>
      </c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</row>
    <row r="1326" spans="1:20" x14ac:dyDescent="0.25">
      <c r="A13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6" t="str">
        <f>SUBSTITUTE(SUBSTITUTE(tabSource[[#This Row],[ID]],"&lt;",""),"&gt;","")</f>
        <v>E2421050</v>
      </c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</row>
    <row r="1327" spans="1:20" x14ac:dyDescent="0.25">
      <c r="A13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7" t="str">
        <f>SUBSTITUTE(SUBSTITUTE(tabSource[[#This Row],[ID]],"&lt;",""),"&gt;","")</f>
        <v>E2421150</v>
      </c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</row>
    <row r="1328" spans="1:20" x14ac:dyDescent="0.25">
      <c r="A13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8" t="str">
        <f>SUBSTITUTE(SUBSTITUTE(tabSource[[#This Row],[ID]],"&lt;",""),"&gt;","")</f>
        <v>E2421250</v>
      </c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</row>
    <row r="1329" spans="1:20" x14ac:dyDescent="0.25">
      <c r="A13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29" t="str">
        <f>SUBSTITUTE(SUBSTITUTE(tabSource[[#This Row],[ID]],"&lt;",""),"&gt;","")</f>
        <v>E2421350</v>
      </c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</row>
    <row r="1330" spans="1:20" x14ac:dyDescent="0.25">
      <c r="A13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0" t="str">
        <f>SUBSTITUTE(SUBSTITUTE(tabSource[[#This Row],[ID]],"&lt;",""),"&gt;","")</f>
        <v>E25001840</v>
      </c>
      <c r="D1330"/>
      <c r="E1330"/>
      <c r="F1330"/>
      <c r="G1330"/>
      <c r="I1330"/>
      <c r="J1330"/>
      <c r="K1330"/>
      <c r="L1330"/>
      <c r="M1330"/>
      <c r="O1330"/>
      <c r="P1330"/>
      <c r="Q1330"/>
      <c r="R1330"/>
      <c r="S1330"/>
      <c r="T1330"/>
    </row>
    <row r="1331" spans="1:20" x14ac:dyDescent="0.25">
      <c r="A13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1" t="str">
        <f>SUBSTITUTE(SUBSTITUTE(tabSource[[#This Row],[ID]],"&lt;",""),"&gt;","")</f>
        <v>E25421840</v>
      </c>
      <c r="D1331"/>
      <c r="E1331"/>
      <c r="F1331"/>
      <c r="G1331"/>
      <c r="I1331"/>
      <c r="J1331"/>
      <c r="K1331"/>
      <c r="L1331"/>
      <c r="M1331"/>
      <c r="O1331"/>
      <c r="P1331"/>
      <c r="Q1331"/>
      <c r="R1331"/>
      <c r="S1331"/>
      <c r="T1331"/>
    </row>
    <row r="1332" spans="1:20" x14ac:dyDescent="0.25">
      <c r="A13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2" t="str">
        <f>SUBSTITUTE(SUBSTITUTE(tabSource[[#This Row],[ID]],"&lt;",""),"&gt;","")</f>
        <v>E26001840</v>
      </c>
      <c r="D1332"/>
      <c r="E1332"/>
      <c r="F1332"/>
      <c r="G1332"/>
      <c r="I1332"/>
      <c r="J1332"/>
      <c r="K1332"/>
      <c r="L1332"/>
      <c r="M1332"/>
      <c r="O1332"/>
      <c r="P1332"/>
      <c r="Q1332"/>
      <c r="R1332"/>
      <c r="S1332"/>
      <c r="T1332"/>
    </row>
    <row r="1333" spans="1:20" x14ac:dyDescent="0.25">
      <c r="A13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3" t="str">
        <f>SUBSTITUTE(SUBSTITUTE(tabSource[[#This Row],[ID]],"&lt;",""),"&gt;","")</f>
        <v>E26421840</v>
      </c>
      <c r="D1333"/>
      <c r="E1333"/>
      <c r="F1333"/>
      <c r="G1333"/>
      <c r="I1333"/>
      <c r="J1333"/>
      <c r="K1333"/>
      <c r="L1333"/>
      <c r="M1333"/>
      <c r="O1333"/>
      <c r="P1333"/>
      <c r="Q1333"/>
      <c r="R1333"/>
      <c r="S1333"/>
      <c r="T1333"/>
    </row>
    <row r="1334" spans="1:20" x14ac:dyDescent="0.25">
      <c r="A13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4" t="str">
        <f>SUBSTITUTE(SUBSTITUTE(tabSource[[#This Row],[ID]],"&lt;",""),"&gt;","")</f>
        <v>E2800850</v>
      </c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</row>
    <row r="1335" spans="1:20" x14ac:dyDescent="0.25">
      <c r="A13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5" t="str">
        <f>SUBSTITUTE(SUBSTITUTE(tabSource[[#This Row],[ID]],"&lt;",""),"&gt;","")</f>
        <v>E2800950</v>
      </c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</row>
    <row r="1336" spans="1:20" x14ac:dyDescent="0.25">
      <c r="A13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6" t="str">
        <f>SUBSTITUTE(SUBSTITUTE(tabSource[[#This Row],[ID]],"&lt;",""),"&gt;","")</f>
        <v>E2801050</v>
      </c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</row>
    <row r="1337" spans="1:20" x14ac:dyDescent="0.25">
      <c r="A13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7" t="str">
        <f>SUBSTITUTE(SUBSTITUTE(tabSource[[#This Row],[ID]],"&lt;",""),"&gt;","")</f>
        <v>E2801150</v>
      </c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</row>
    <row r="1338" spans="1:20" x14ac:dyDescent="0.25">
      <c r="A13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8" t="str">
        <f>SUBSTITUTE(SUBSTITUTE(tabSource[[#This Row],[ID]],"&lt;",""),"&gt;","")</f>
        <v>E2801250</v>
      </c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</row>
    <row r="1339" spans="1:20" x14ac:dyDescent="0.25">
      <c r="A13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39" t="str">
        <f>SUBSTITUTE(SUBSTITUTE(tabSource[[#This Row],[ID]],"&lt;",""),"&gt;","")</f>
        <v>E2801350</v>
      </c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</row>
    <row r="1340" spans="1:20" x14ac:dyDescent="0.25">
      <c r="A13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0" t="str">
        <f>SUBSTITUTE(SUBSTITUTE(tabSource[[#This Row],[ID]],"&lt;",""),"&gt;","")</f>
        <v>E2820850</v>
      </c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</row>
    <row r="1341" spans="1:20" x14ac:dyDescent="0.25">
      <c r="A13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1" t="str">
        <f>SUBSTITUTE(SUBSTITUTE(tabSource[[#This Row],[ID]],"&lt;",""),"&gt;","")</f>
        <v>E2820950</v>
      </c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</row>
    <row r="1342" spans="1:20" x14ac:dyDescent="0.25">
      <c r="A13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2" t="str">
        <f>SUBSTITUTE(SUBSTITUTE(tabSource[[#This Row],[ID]],"&lt;",""),"&gt;","")</f>
        <v>E2821050</v>
      </c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</row>
    <row r="1343" spans="1:20" x14ac:dyDescent="0.25">
      <c r="A13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3" t="str">
        <f>SUBSTITUTE(SUBSTITUTE(tabSource[[#This Row],[ID]],"&lt;",""),"&gt;","")</f>
        <v>E2821150</v>
      </c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</row>
    <row r="1344" spans="1:20" x14ac:dyDescent="0.25">
      <c r="A13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4" t="str">
        <f>SUBSTITUTE(SUBSTITUTE(tabSource[[#This Row],[ID]],"&lt;",""),"&gt;","")</f>
        <v>E2821250</v>
      </c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</row>
    <row r="1345" spans="1:20" x14ac:dyDescent="0.25">
      <c r="A13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5" t="str">
        <f>SUBSTITUTE(SUBSTITUTE(tabSource[[#This Row],[ID]],"&lt;",""),"&gt;","")</f>
        <v>E2821350</v>
      </c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</row>
    <row r="1346" spans="1:20" x14ac:dyDescent="0.25">
      <c r="A13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6" t="str">
        <f>SUBSTITUTE(SUBSTITUTE(tabSource[[#This Row],[ID]],"&lt;",""),"&gt;","")</f>
        <v>E3000600</v>
      </c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</row>
    <row r="1347" spans="1:20" x14ac:dyDescent="0.25">
      <c r="A13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7" t="str">
        <f>SUBSTITUTE(SUBSTITUTE(tabSource[[#This Row],[ID]],"&lt;",""),"&gt;","")</f>
        <v>E3000620</v>
      </c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</row>
    <row r="1348" spans="1:20" x14ac:dyDescent="0.25">
      <c r="A13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8" t="str">
        <f>SUBSTITUTE(SUBSTITUTE(tabSource[[#This Row],[ID]],"&lt;",""),"&gt;","")</f>
        <v>E3000700</v>
      </c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</row>
    <row r="1349" spans="1:20" x14ac:dyDescent="0.25">
      <c r="A13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49" t="str">
        <f>SUBSTITUTE(SUBSTITUTE(tabSource[[#This Row],[ID]],"&lt;",""),"&gt;","")</f>
        <v>E3000720</v>
      </c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</row>
    <row r="1350" spans="1:20" x14ac:dyDescent="0.25">
      <c r="A13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0" t="str">
        <f>SUBSTITUTE(SUBSTITUTE(tabSource[[#This Row],[ID]],"&lt;",""),"&gt;","")</f>
        <v>E3000800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</row>
    <row r="1351" spans="1:20" x14ac:dyDescent="0.25">
      <c r="A13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1" t="str">
        <f>SUBSTITUTE(SUBSTITUTE(tabSource[[#This Row],[ID]],"&lt;",""),"&gt;","")</f>
        <v>E3000820</v>
      </c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</row>
    <row r="1352" spans="1:20" x14ac:dyDescent="0.25">
      <c r="A13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2" t="str">
        <f>SUBSTITUTE(SUBSTITUTE(tabSource[[#This Row],[ID]],"&lt;",""),"&gt;","")</f>
        <v>E3000900</v>
      </c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</row>
    <row r="1353" spans="1:20" x14ac:dyDescent="0.25">
      <c r="A13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3" t="str">
        <f>SUBSTITUTE(SUBSTITUTE(tabSource[[#This Row],[ID]],"&lt;",""),"&gt;","")</f>
        <v>E3000920</v>
      </c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</row>
    <row r="1354" spans="1:20" x14ac:dyDescent="0.25">
      <c r="A13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4" t="str">
        <f>SUBSTITUTE(SUBSTITUTE(tabSource[[#This Row],[ID]],"&lt;",""),"&gt;","")</f>
        <v>E3001000</v>
      </c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</row>
    <row r="1355" spans="1:20" x14ac:dyDescent="0.25">
      <c r="A13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5" t="str">
        <f>SUBSTITUTE(SUBSTITUTE(tabSource[[#This Row],[ID]],"&lt;",""),"&gt;","")</f>
        <v>E3001020</v>
      </c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</row>
    <row r="1356" spans="1:20" x14ac:dyDescent="0.25">
      <c r="A13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6" t="str">
        <f>SUBSTITUTE(SUBSTITUTE(tabSource[[#This Row],[ID]],"&lt;",""),"&gt;","")</f>
        <v>E3420600</v>
      </c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</row>
    <row r="1357" spans="1:20" x14ac:dyDescent="0.25">
      <c r="A13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7" t="str">
        <f>SUBSTITUTE(SUBSTITUTE(tabSource[[#This Row],[ID]],"&lt;",""),"&gt;","")</f>
        <v>E3420620</v>
      </c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</row>
    <row r="1358" spans="1:20" x14ac:dyDescent="0.25">
      <c r="A13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8" t="str">
        <f>SUBSTITUTE(SUBSTITUTE(tabSource[[#This Row],[ID]],"&lt;",""),"&gt;","")</f>
        <v>E3420700</v>
      </c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</row>
    <row r="1359" spans="1:20" x14ac:dyDescent="0.25">
      <c r="A13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59" t="str">
        <f>SUBSTITUTE(SUBSTITUTE(tabSource[[#This Row],[ID]],"&lt;",""),"&gt;","")</f>
        <v>E3420720</v>
      </c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</row>
    <row r="1360" spans="1:20" x14ac:dyDescent="0.25">
      <c r="A13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0" t="str">
        <f>SUBSTITUTE(SUBSTITUTE(tabSource[[#This Row],[ID]],"&lt;",""),"&gt;","")</f>
        <v>E3420800</v>
      </c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</row>
    <row r="1361" spans="1:20" x14ac:dyDescent="0.25">
      <c r="A13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1" t="str">
        <f>SUBSTITUTE(SUBSTITUTE(tabSource[[#This Row],[ID]],"&lt;",""),"&gt;","")</f>
        <v>E3420820</v>
      </c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</row>
    <row r="1362" spans="1:20" x14ac:dyDescent="0.25">
      <c r="A13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2" t="str">
        <f>SUBSTITUTE(SUBSTITUTE(tabSource[[#This Row],[ID]],"&lt;",""),"&gt;","")</f>
        <v>E3420900</v>
      </c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</row>
    <row r="1363" spans="1:20" x14ac:dyDescent="0.25">
      <c r="A13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3" t="str">
        <f>SUBSTITUTE(SUBSTITUTE(tabSource[[#This Row],[ID]],"&lt;",""),"&gt;","")</f>
        <v>E3420920</v>
      </c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</row>
    <row r="1364" spans="1:20" x14ac:dyDescent="0.25">
      <c r="A13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4" t="str">
        <f>SUBSTITUTE(SUBSTITUTE(tabSource[[#This Row],[ID]],"&lt;",""),"&gt;","")</f>
        <v>E3421000</v>
      </c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</row>
    <row r="1365" spans="1:20" x14ac:dyDescent="0.25">
      <c r="A13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5" t="str">
        <f>SUBSTITUTE(SUBSTITUTE(tabSource[[#This Row],[ID]],"&lt;",""),"&gt;","")</f>
        <v>E3421020</v>
      </c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</row>
    <row r="1366" spans="1:20" x14ac:dyDescent="0.25">
      <c r="A13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6" t="str">
        <f>SUBSTITUTE(SUBSTITUTE(tabSource[[#This Row],[ID]],"&lt;",""),"&gt;","")</f>
        <v>E41000800</v>
      </c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</row>
    <row r="1367" spans="1:20" x14ac:dyDescent="0.25">
      <c r="A13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7" t="str">
        <f>SUBSTITUTE(SUBSTITUTE(tabSource[[#This Row],[ID]],"&lt;",""),"&gt;","")</f>
        <v>E41000820</v>
      </c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</row>
    <row r="1368" spans="1:20" x14ac:dyDescent="0.25">
      <c r="A13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8" t="str">
        <f>SUBSTITUTE(SUBSTITUTE(tabSource[[#This Row],[ID]],"&lt;",""),"&gt;","")</f>
        <v>E41000840</v>
      </c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</row>
    <row r="1369" spans="1:20" x14ac:dyDescent="0.25">
      <c r="A13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69" t="str">
        <f>SUBSTITUTE(SUBSTITUTE(tabSource[[#This Row],[ID]],"&lt;",""),"&gt;","")</f>
        <v>E41000850</v>
      </c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</row>
    <row r="1370" spans="1:20" x14ac:dyDescent="0.25">
      <c r="A13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0" t="str">
        <f>SUBSTITUTE(SUBSTITUTE(tabSource[[#This Row],[ID]],"&lt;",""),"&gt;","")</f>
        <v>E41000851</v>
      </c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</row>
    <row r="1371" spans="1:20" x14ac:dyDescent="0.25">
      <c r="A13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1" t="str">
        <f>SUBSTITUTE(SUBSTITUTE(tabSource[[#This Row],[ID]],"&lt;",""),"&gt;","")</f>
        <v>E41000900</v>
      </c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</row>
    <row r="1372" spans="1:20" x14ac:dyDescent="0.25">
      <c r="A13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2" t="str">
        <f>SUBSTITUTE(SUBSTITUTE(tabSource[[#This Row],[ID]],"&lt;",""),"&gt;","")</f>
        <v>E41000920</v>
      </c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</row>
    <row r="1373" spans="1:20" x14ac:dyDescent="0.25">
      <c r="A13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3" t="str">
        <f>SUBSTITUTE(SUBSTITUTE(tabSource[[#This Row],[ID]],"&lt;",""),"&gt;","")</f>
        <v>E41000940</v>
      </c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</row>
    <row r="1374" spans="1:20" x14ac:dyDescent="0.25">
      <c r="A13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4" t="str">
        <f>SUBSTITUTE(SUBSTITUTE(tabSource[[#This Row],[ID]],"&lt;",""),"&gt;","")</f>
        <v>E41000950</v>
      </c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</row>
    <row r="1375" spans="1:20" x14ac:dyDescent="0.25">
      <c r="A13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5" t="str">
        <f>SUBSTITUTE(SUBSTITUTE(tabSource[[#This Row],[ID]],"&lt;",""),"&gt;","")</f>
        <v>E41000951</v>
      </c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</row>
    <row r="1376" spans="1:20" x14ac:dyDescent="0.25">
      <c r="A13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6" t="str">
        <f>SUBSTITUTE(SUBSTITUTE(tabSource[[#This Row],[ID]],"&lt;",""),"&gt;","")</f>
        <v>E41001000</v>
      </c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</row>
    <row r="1377" spans="1:20" x14ac:dyDescent="0.25">
      <c r="A13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7" t="str">
        <f>SUBSTITUTE(SUBSTITUTE(tabSource[[#This Row],[ID]],"&lt;",""),"&gt;","")</f>
        <v>E41001020</v>
      </c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</row>
    <row r="1378" spans="1:20" x14ac:dyDescent="0.25">
      <c r="A13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8" t="str">
        <f>SUBSTITUTE(SUBSTITUTE(tabSource[[#This Row],[ID]],"&lt;",""),"&gt;","")</f>
        <v>E41001040</v>
      </c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</row>
    <row r="1379" spans="1:20" x14ac:dyDescent="0.25">
      <c r="A13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79" t="str">
        <f>SUBSTITUTE(SUBSTITUTE(tabSource[[#This Row],[ID]],"&lt;",""),"&gt;","")</f>
        <v>E41001050</v>
      </c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</row>
    <row r="1380" spans="1:20" x14ac:dyDescent="0.25">
      <c r="A13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0" t="str">
        <f>SUBSTITUTE(SUBSTITUTE(tabSource[[#This Row],[ID]],"&lt;",""),"&gt;","")</f>
        <v>E41001051</v>
      </c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</row>
    <row r="1381" spans="1:20" x14ac:dyDescent="0.25">
      <c r="A13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1" t="str">
        <f>SUBSTITUTE(SUBSTITUTE(tabSource[[#This Row],[ID]],"&lt;",""),"&gt;","")</f>
        <v>E41001100</v>
      </c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</row>
    <row r="1382" spans="1:20" x14ac:dyDescent="0.25">
      <c r="A13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2" t="str">
        <f>SUBSTITUTE(SUBSTITUTE(tabSource[[#This Row],[ID]],"&lt;",""),"&gt;","")</f>
        <v>E41001120</v>
      </c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</row>
    <row r="1383" spans="1:20" x14ac:dyDescent="0.25">
      <c r="A13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3" t="str">
        <f>SUBSTITUTE(SUBSTITUTE(tabSource[[#This Row],[ID]],"&lt;",""),"&gt;","")</f>
        <v>E41001140</v>
      </c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</row>
    <row r="1384" spans="1:20" x14ac:dyDescent="0.25">
      <c r="A13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4" t="str">
        <f>SUBSTITUTE(SUBSTITUTE(tabSource[[#This Row],[ID]],"&lt;",""),"&gt;","")</f>
        <v>E41001150</v>
      </c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</row>
    <row r="1385" spans="1:20" x14ac:dyDescent="0.25">
      <c r="A13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5" t="str">
        <f>SUBSTITUTE(SUBSTITUTE(tabSource[[#This Row],[ID]],"&lt;",""),"&gt;","")</f>
        <v>E41001151</v>
      </c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</row>
    <row r="1386" spans="1:20" x14ac:dyDescent="0.25">
      <c r="A13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6" t="str">
        <f>SUBSTITUTE(SUBSTITUTE(tabSource[[#This Row],[ID]],"&lt;",""),"&gt;","")</f>
        <v>E41001200</v>
      </c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</row>
    <row r="1387" spans="1:20" x14ac:dyDescent="0.25">
      <c r="A13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7" t="str">
        <f>SUBSTITUTE(SUBSTITUTE(tabSource[[#This Row],[ID]],"&lt;",""),"&gt;","")</f>
        <v>E41001220</v>
      </c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</row>
    <row r="1388" spans="1:20" x14ac:dyDescent="0.25">
      <c r="A13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8" t="str">
        <f>SUBSTITUTE(SUBSTITUTE(tabSource[[#This Row],[ID]],"&lt;",""),"&gt;","")</f>
        <v>E41001240</v>
      </c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</row>
    <row r="1389" spans="1:20" x14ac:dyDescent="0.25">
      <c r="A13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89" t="str">
        <f>SUBSTITUTE(SUBSTITUTE(tabSource[[#This Row],[ID]],"&lt;",""),"&gt;","")</f>
        <v>E41001250</v>
      </c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</row>
    <row r="1390" spans="1:20" x14ac:dyDescent="0.25">
      <c r="A13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0" t="str">
        <f>SUBSTITUTE(SUBSTITUTE(tabSource[[#This Row],[ID]],"&lt;",""),"&gt;","")</f>
        <v>E41001251</v>
      </c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</row>
    <row r="1391" spans="1:20" x14ac:dyDescent="0.25">
      <c r="A13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1" t="str">
        <f>SUBSTITUTE(SUBSTITUTE(tabSource[[#This Row],[ID]],"&lt;",""),"&gt;","")</f>
        <v>E41001300</v>
      </c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</row>
    <row r="1392" spans="1:20" x14ac:dyDescent="0.25">
      <c r="A13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2" t="str">
        <f>SUBSTITUTE(SUBSTITUTE(tabSource[[#This Row],[ID]],"&lt;",""),"&gt;","")</f>
        <v>E41001320</v>
      </c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</row>
    <row r="1393" spans="1:20" x14ac:dyDescent="0.25">
      <c r="A13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3" t="str">
        <f>SUBSTITUTE(SUBSTITUTE(tabSource[[#This Row],[ID]],"&lt;",""),"&gt;","")</f>
        <v>E41001340</v>
      </c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</row>
    <row r="1394" spans="1:20" x14ac:dyDescent="0.25">
      <c r="A139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4" t="str">
        <f>SUBSTITUTE(SUBSTITUTE(tabSource[[#This Row],[ID]],"&lt;",""),"&gt;","")</f>
        <v>E41001350</v>
      </c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</row>
    <row r="1395" spans="1:20" x14ac:dyDescent="0.25">
      <c r="A139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5" t="str">
        <f>SUBSTITUTE(SUBSTITUTE(tabSource[[#This Row],[ID]],"&lt;",""),"&gt;","")</f>
        <v>E41001351</v>
      </c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</row>
    <row r="1396" spans="1:20" x14ac:dyDescent="0.25">
      <c r="A139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6" t="str">
        <f>SUBSTITUTE(SUBSTITUTE(tabSource[[#This Row],[ID]],"&lt;",""),"&gt;","")</f>
        <v>E41001900</v>
      </c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</row>
    <row r="1397" spans="1:20" x14ac:dyDescent="0.25">
      <c r="A139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7" t="str">
        <f>SUBSTITUTE(SUBSTITUTE(tabSource[[#This Row],[ID]],"&lt;",""),"&gt;","")</f>
        <v>E41001920</v>
      </c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</row>
    <row r="1398" spans="1:20" x14ac:dyDescent="0.25">
      <c r="A139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8" t="str">
        <f>SUBSTITUTE(SUBSTITUTE(tabSource[[#This Row],[ID]],"&lt;",""),"&gt;","")</f>
        <v>E41001940</v>
      </c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</row>
    <row r="1399" spans="1:20" x14ac:dyDescent="0.25">
      <c r="A139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39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399" t="str">
        <f>SUBSTITUTE(SUBSTITUTE(tabSource[[#This Row],[ID]],"&lt;",""),"&gt;","")</f>
        <v>E41001950</v>
      </c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</row>
    <row r="1400" spans="1:20" x14ac:dyDescent="0.25">
      <c r="A140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0" t="str">
        <f>SUBSTITUTE(SUBSTITUTE(tabSource[[#This Row],[ID]],"&lt;",""),"&gt;","")</f>
        <v>E41001951</v>
      </c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</row>
    <row r="1401" spans="1:20" x14ac:dyDescent="0.25">
      <c r="A140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1" t="str">
        <f>SUBSTITUTE(SUBSTITUTE(tabSource[[#This Row],[ID]],"&lt;",""),"&gt;","")</f>
        <v>E41002100</v>
      </c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</row>
    <row r="1402" spans="1:20" x14ac:dyDescent="0.25">
      <c r="A140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2" t="str">
        <f>SUBSTITUTE(SUBSTITUTE(tabSource[[#This Row],[ID]],"&lt;",""),"&gt;","")</f>
        <v>E41002120</v>
      </c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</row>
    <row r="1403" spans="1:20" x14ac:dyDescent="0.25">
      <c r="A140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3" t="str">
        <f>SUBSTITUTE(SUBSTITUTE(tabSource[[#This Row],[ID]],"&lt;",""),"&gt;","")</f>
        <v>E41002140</v>
      </c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</row>
    <row r="1404" spans="1:20" x14ac:dyDescent="0.25">
      <c r="A140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4" t="str">
        <f>SUBSTITUTE(SUBSTITUTE(tabSource[[#This Row],[ID]],"&lt;",""),"&gt;","")</f>
        <v>E41002150</v>
      </c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</row>
    <row r="1405" spans="1:20" x14ac:dyDescent="0.25">
      <c r="A140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5" t="str">
        <f>SUBSTITUTE(SUBSTITUTE(tabSource[[#This Row],[ID]],"&lt;",""),"&gt;","")</f>
        <v>E41002151</v>
      </c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</row>
    <row r="1406" spans="1:20" x14ac:dyDescent="0.25">
      <c r="A140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6" t="str">
        <f>SUBSTITUTE(SUBSTITUTE(tabSource[[#This Row],[ID]],"&lt;",""),"&gt;","")</f>
        <v>E41420800</v>
      </c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</row>
    <row r="1407" spans="1:20" x14ac:dyDescent="0.25">
      <c r="A140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7" t="str">
        <f>SUBSTITUTE(SUBSTITUTE(tabSource[[#This Row],[ID]],"&lt;",""),"&gt;","")</f>
        <v>E41420820</v>
      </c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</row>
    <row r="1408" spans="1:20" x14ac:dyDescent="0.25">
      <c r="A140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8" t="str">
        <f>SUBSTITUTE(SUBSTITUTE(tabSource[[#This Row],[ID]],"&lt;",""),"&gt;","")</f>
        <v>E41420840</v>
      </c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</row>
    <row r="1409" spans="1:20" x14ac:dyDescent="0.25">
      <c r="A140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0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09" t="str">
        <f>SUBSTITUTE(SUBSTITUTE(tabSource[[#This Row],[ID]],"&lt;",""),"&gt;","")</f>
        <v>E41420850</v>
      </c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</row>
    <row r="1410" spans="1:20" x14ac:dyDescent="0.25">
      <c r="A141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0" t="str">
        <f>SUBSTITUTE(SUBSTITUTE(tabSource[[#This Row],[ID]],"&lt;",""),"&gt;","")</f>
        <v>E41420851</v>
      </c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</row>
    <row r="1411" spans="1:20" x14ac:dyDescent="0.25">
      <c r="A141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1" t="str">
        <f>SUBSTITUTE(SUBSTITUTE(tabSource[[#This Row],[ID]],"&lt;",""),"&gt;","")</f>
        <v>E41420900</v>
      </c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</row>
    <row r="1412" spans="1:20" x14ac:dyDescent="0.25">
      <c r="A141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2" t="str">
        <f>SUBSTITUTE(SUBSTITUTE(tabSource[[#This Row],[ID]],"&lt;",""),"&gt;","")</f>
        <v>E41420920</v>
      </c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</row>
    <row r="1413" spans="1:20" x14ac:dyDescent="0.25">
      <c r="A141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3" t="str">
        <f>SUBSTITUTE(SUBSTITUTE(tabSource[[#This Row],[ID]],"&lt;",""),"&gt;","")</f>
        <v>E41420940</v>
      </c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</row>
    <row r="1414" spans="1:20" x14ac:dyDescent="0.25">
      <c r="A141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4" t="str">
        <f>SUBSTITUTE(SUBSTITUTE(tabSource[[#This Row],[ID]],"&lt;",""),"&gt;","")</f>
        <v>E41420950</v>
      </c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</row>
    <row r="1415" spans="1:20" x14ac:dyDescent="0.25">
      <c r="A141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5" t="str">
        <f>SUBSTITUTE(SUBSTITUTE(tabSource[[#This Row],[ID]],"&lt;",""),"&gt;","")</f>
        <v>E41420951</v>
      </c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</row>
    <row r="1416" spans="1:20" x14ac:dyDescent="0.25">
      <c r="A141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6" t="str">
        <f>SUBSTITUTE(SUBSTITUTE(tabSource[[#This Row],[ID]],"&lt;",""),"&gt;","")</f>
        <v>E41421000</v>
      </c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</row>
    <row r="1417" spans="1:20" x14ac:dyDescent="0.25">
      <c r="A141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7" t="str">
        <f>SUBSTITUTE(SUBSTITUTE(tabSource[[#This Row],[ID]],"&lt;",""),"&gt;","")</f>
        <v>E41421020</v>
      </c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</row>
    <row r="1418" spans="1:20" x14ac:dyDescent="0.25">
      <c r="A141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8" t="str">
        <f>SUBSTITUTE(SUBSTITUTE(tabSource[[#This Row],[ID]],"&lt;",""),"&gt;","")</f>
        <v>E41421040</v>
      </c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</row>
    <row r="1419" spans="1:20" x14ac:dyDescent="0.25">
      <c r="A141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1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19" t="str">
        <f>SUBSTITUTE(SUBSTITUTE(tabSource[[#This Row],[ID]],"&lt;",""),"&gt;","")</f>
        <v>E41421050</v>
      </c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</row>
    <row r="1420" spans="1:20" x14ac:dyDescent="0.25">
      <c r="A142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0" t="str">
        <f>SUBSTITUTE(SUBSTITUTE(tabSource[[#This Row],[ID]],"&lt;",""),"&gt;","")</f>
        <v>E41421051</v>
      </c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</row>
    <row r="1421" spans="1:20" x14ac:dyDescent="0.25">
      <c r="A142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1" t="str">
        <f>SUBSTITUTE(SUBSTITUTE(tabSource[[#This Row],[ID]],"&lt;",""),"&gt;","")</f>
        <v>E41421100</v>
      </c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</row>
    <row r="1422" spans="1:20" x14ac:dyDescent="0.25">
      <c r="A142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2" t="str">
        <f>SUBSTITUTE(SUBSTITUTE(tabSource[[#This Row],[ID]],"&lt;",""),"&gt;","")</f>
        <v>E41421120</v>
      </c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</row>
    <row r="1423" spans="1:20" x14ac:dyDescent="0.25">
      <c r="A142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3" t="str">
        <f>SUBSTITUTE(SUBSTITUTE(tabSource[[#This Row],[ID]],"&lt;",""),"&gt;","")</f>
        <v>E41421140</v>
      </c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</row>
    <row r="1424" spans="1:20" x14ac:dyDescent="0.25">
      <c r="A142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4" t="str">
        <f>SUBSTITUTE(SUBSTITUTE(tabSource[[#This Row],[ID]],"&lt;",""),"&gt;","")</f>
        <v>E41421150</v>
      </c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</row>
    <row r="1425" spans="1:20" x14ac:dyDescent="0.25">
      <c r="A142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5" t="str">
        <f>SUBSTITUTE(SUBSTITUTE(tabSource[[#This Row],[ID]],"&lt;",""),"&gt;","")</f>
        <v>E41421151</v>
      </c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</row>
    <row r="1426" spans="1:20" x14ac:dyDescent="0.25">
      <c r="A142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6" t="str">
        <f>SUBSTITUTE(SUBSTITUTE(tabSource[[#This Row],[ID]],"&lt;",""),"&gt;","")</f>
        <v>E41421200</v>
      </c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</row>
    <row r="1427" spans="1:20" x14ac:dyDescent="0.25">
      <c r="A142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7" t="str">
        <f>SUBSTITUTE(SUBSTITUTE(tabSource[[#This Row],[ID]],"&lt;",""),"&gt;","")</f>
        <v>E41421220</v>
      </c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</row>
    <row r="1428" spans="1:20" x14ac:dyDescent="0.25">
      <c r="A142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8" t="str">
        <f>SUBSTITUTE(SUBSTITUTE(tabSource[[#This Row],[ID]],"&lt;",""),"&gt;","")</f>
        <v>E41421240</v>
      </c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</row>
    <row r="1429" spans="1:20" x14ac:dyDescent="0.25">
      <c r="A142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2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29" t="str">
        <f>SUBSTITUTE(SUBSTITUTE(tabSource[[#This Row],[ID]],"&lt;",""),"&gt;","")</f>
        <v>E41421250</v>
      </c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</row>
    <row r="1430" spans="1:20" x14ac:dyDescent="0.25">
      <c r="A143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0" t="str">
        <f>SUBSTITUTE(SUBSTITUTE(tabSource[[#This Row],[ID]],"&lt;",""),"&gt;","")</f>
        <v>E41421251</v>
      </c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</row>
    <row r="1431" spans="1:20" x14ac:dyDescent="0.25">
      <c r="A143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1" t="str">
        <f>SUBSTITUTE(SUBSTITUTE(tabSource[[#This Row],[ID]],"&lt;",""),"&gt;","")</f>
        <v>E41421300</v>
      </c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</row>
    <row r="1432" spans="1:20" x14ac:dyDescent="0.25">
      <c r="A143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2" t="str">
        <f>SUBSTITUTE(SUBSTITUTE(tabSource[[#This Row],[ID]],"&lt;",""),"&gt;","")</f>
        <v>E41421320</v>
      </c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</row>
    <row r="1433" spans="1:20" x14ac:dyDescent="0.25">
      <c r="A143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3" t="str">
        <f>SUBSTITUTE(SUBSTITUTE(tabSource[[#This Row],[ID]],"&lt;",""),"&gt;","")</f>
        <v>E41421340</v>
      </c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</row>
    <row r="1434" spans="1:20" x14ac:dyDescent="0.25">
      <c r="A143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4" t="str">
        <f>SUBSTITUTE(SUBSTITUTE(tabSource[[#This Row],[ID]],"&lt;",""),"&gt;","")</f>
        <v>E41421350</v>
      </c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</row>
    <row r="1435" spans="1:20" x14ac:dyDescent="0.25">
      <c r="A143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5" t="str">
        <f>SUBSTITUTE(SUBSTITUTE(tabSource[[#This Row],[ID]],"&lt;",""),"&gt;","")</f>
        <v>E41421351</v>
      </c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</row>
    <row r="1436" spans="1:20" x14ac:dyDescent="0.25">
      <c r="A143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6" t="str">
        <f>SUBSTITUTE(SUBSTITUTE(tabSource[[#This Row],[ID]],"&lt;",""),"&gt;","")</f>
        <v>E41421900</v>
      </c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</row>
    <row r="1437" spans="1:20" x14ac:dyDescent="0.25">
      <c r="A14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7" t="str">
        <f>SUBSTITUTE(SUBSTITUTE(tabSource[[#This Row],[ID]],"&lt;",""),"&gt;","")</f>
        <v>E41421920</v>
      </c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</row>
    <row r="1438" spans="1:20" x14ac:dyDescent="0.25">
      <c r="A143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8" t="str">
        <f>SUBSTITUTE(SUBSTITUTE(tabSource[[#This Row],[ID]],"&lt;",""),"&gt;","")</f>
        <v>E41421940</v>
      </c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</row>
    <row r="1439" spans="1:20" x14ac:dyDescent="0.25">
      <c r="A143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3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39" t="str">
        <f>SUBSTITUTE(SUBSTITUTE(tabSource[[#This Row],[ID]],"&lt;",""),"&gt;","")</f>
        <v>E41421950</v>
      </c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</row>
    <row r="1440" spans="1:20" x14ac:dyDescent="0.25">
      <c r="A144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0" t="str">
        <f>SUBSTITUTE(SUBSTITUTE(tabSource[[#This Row],[ID]],"&lt;",""),"&gt;","")</f>
        <v>E41421951</v>
      </c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</row>
    <row r="1441" spans="1:20" x14ac:dyDescent="0.25">
      <c r="A144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1" t="str">
        <f>SUBSTITUTE(SUBSTITUTE(tabSource[[#This Row],[ID]],"&lt;",""),"&gt;","")</f>
        <v>E41422100</v>
      </c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</row>
    <row r="1442" spans="1:20" x14ac:dyDescent="0.25">
      <c r="A144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2" t="str">
        <f>SUBSTITUTE(SUBSTITUTE(tabSource[[#This Row],[ID]],"&lt;",""),"&gt;","")</f>
        <v>E41422120</v>
      </c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</row>
    <row r="1443" spans="1:20" x14ac:dyDescent="0.25">
      <c r="A144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3" t="str">
        <f>SUBSTITUTE(SUBSTITUTE(tabSource[[#This Row],[ID]],"&lt;",""),"&gt;","")</f>
        <v>E41422140</v>
      </c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</row>
    <row r="1444" spans="1:20" x14ac:dyDescent="0.25">
      <c r="A144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4" t="str">
        <f>SUBSTITUTE(SUBSTITUTE(tabSource[[#This Row],[ID]],"&lt;",""),"&gt;","")</f>
        <v>E41422150</v>
      </c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</row>
    <row r="1445" spans="1:20" x14ac:dyDescent="0.25">
      <c r="A144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5" t="str">
        <f>SUBSTITUTE(SUBSTITUTE(tabSource[[#This Row],[ID]],"&lt;",""),"&gt;","")</f>
        <v>E41422151</v>
      </c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</row>
    <row r="1446" spans="1:20" x14ac:dyDescent="0.25">
      <c r="A144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6" t="str">
        <f>SUBSTITUTE(SUBSTITUTE(tabSource[[#This Row],[ID]],"&lt;",""),"&gt;","")</f>
        <v>E41480840</v>
      </c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</row>
    <row r="1447" spans="1:20" x14ac:dyDescent="0.25">
      <c r="A144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7" t="str">
        <f>SUBSTITUTE(SUBSTITUTE(tabSource[[#This Row],[ID]],"&lt;",""),"&gt;","")</f>
        <v>E41480850</v>
      </c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</row>
    <row r="1448" spans="1:20" x14ac:dyDescent="0.25">
      <c r="A144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8" t="str">
        <f>SUBSTITUTE(SUBSTITUTE(tabSource[[#This Row],[ID]],"&lt;",""),"&gt;","")</f>
        <v>E41480851</v>
      </c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</row>
    <row r="1449" spans="1:20" x14ac:dyDescent="0.25">
      <c r="A144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4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49" t="str">
        <f>SUBSTITUTE(SUBSTITUTE(tabSource[[#This Row],[ID]],"&lt;",""),"&gt;","")</f>
        <v>E41480940</v>
      </c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</row>
    <row r="1450" spans="1:20" x14ac:dyDescent="0.25">
      <c r="A145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0" t="str">
        <f>SUBSTITUTE(SUBSTITUTE(tabSource[[#This Row],[ID]],"&lt;",""),"&gt;","")</f>
        <v>E41480950</v>
      </c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</row>
    <row r="1451" spans="1:20" x14ac:dyDescent="0.25">
      <c r="A145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1" t="str">
        <f>SUBSTITUTE(SUBSTITUTE(tabSource[[#This Row],[ID]],"&lt;",""),"&gt;","")</f>
        <v>E41480951</v>
      </c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</row>
    <row r="1452" spans="1:20" x14ac:dyDescent="0.25">
      <c r="A145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2" t="str">
        <f>SUBSTITUTE(SUBSTITUTE(tabSource[[#This Row],[ID]],"&lt;",""),"&gt;","")</f>
        <v>E41481040</v>
      </c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</row>
    <row r="1453" spans="1:20" x14ac:dyDescent="0.25">
      <c r="A145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3" t="str">
        <f>SUBSTITUTE(SUBSTITUTE(tabSource[[#This Row],[ID]],"&lt;",""),"&gt;","")</f>
        <v>E41481050</v>
      </c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</row>
    <row r="1454" spans="1:20" x14ac:dyDescent="0.25">
      <c r="A145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4" t="str">
        <f>SUBSTITUTE(SUBSTITUTE(tabSource[[#This Row],[ID]],"&lt;",""),"&gt;","")</f>
        <v>E41481051</v>
      </c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</row>
    <row r="1455" spans="1:20" x14ac:dyDescent="0.25">
      <c r="A145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5" t="str">
        <f>SUBSTITUTE(SUBSTITUTE(tabSource[[#This Row],[ID]],"&lt;",""),"&gt;","")</f>
        <v>E41481140</v>
      </c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</row>
    <row r="1456" spans="1:20" x14ac:dyDescent="0.25">
      <c r="A145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6" t="str">
        <f>SUBSTITUTE(SUBSTITUTE(tabSource[[#This Row],[ID]],"&lt;",""),"&gt;","")</f>
        <v>E41481150</v>
      </c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</row>
    <row r="1457" spans="1:20" x14ac:dyDescent="0.25">
      <c r="A145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7" t="str">
        <f>SUBSTITUTE(SUBSTITUTE(tabSource[[#This Row],[ID]],"&lt;",""),"&gt;","")</f>
        <v>E41481151</v>
      </c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</row>
    <row r="1458" spans="1:20" x14ac:dyDescent="0.25">
      <c r="A145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8" t="str">
        <f>SUBSTITUTE(SUBSTITUTE(tabSource[[#This Row],[ID]],"&lt;",""),"&gt;","")</f>
        <v>E41481240</v>
      </c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</row>
    <row r="1459" spans="1:20" x14ac:dyDescent="0.25">
      <c r="A145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5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59" t="str">
        <f>SUBSTITUTE(SUBSTITUTE(tabSource[[#This Row],[ID]],"&lt;",""),"&gt;","")</f>
        <v>E41481250</v>
      </c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</row>
    <row r="1460" spans="1:20" x14ac:dyDescent="0.25">
      <c r="A146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0" t="str">
        <f>SUBSTITUTE(SUBSTITUTE(tabSource[[#This Row],[ID]],"&lt;",""),"&gt;","")</f>
        <v>E41481251</v>
      </c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</row>
    <row r="1461" spans="1:20" x14ac:dyDescent="0.25">
      <c r="A146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1" t="str">
        <f>SUBSTITUTE(SUBSTITUTE(tabSource[[#This Row],[ID]],"&lt;",""),"&gt;","")</f>
        <v>E41481340</v>
      </c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</row>
    <row r="1462" spans="1:20" x14ac:dyDescent="0.25">
      <c r="A146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2" t="str">
        <f>SUBSTITUTE(SUBSTITUTE(tabSource[[#This Row],[ID]],"&lt;",""),"&gt;","")</f>
        <v>E41481350</v>
      </c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</row>
    <row r="1463" spans="1:20" x14ac:dyDescent="0.25">
      <c r="A146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3" t="str">
        <f>SUBSTITUTE(SUBSTITUTE(tabSource[[#This Row],[ID]],"&lt;",""),"&gt;","")</f>
        <v>E41481351</v>
      </c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</row>
    <row r="1464" spans="1:20" x14ac:dyDescent="0.25">
      <c r="A146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4" t="str">
        <f>SUBSTITUTE(SUBSTITUTE(tabSource[[#This Row],[ID]],"&lt;",""),"&gt;","")</f>
        <v>E41481940</v>
      </c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</row>
    <row r="1465" spans="1:20" x14ac:dyDescent="0.25">
      <c r="A146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5" t="str">
        <f>SUBSTITUTE(SUBSTITUTE(tabSource[[#This Row],[ID]],"&lt;",""),"&gt;","")</f>
        <v>E41481950</v>
      </c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</row>
    <row r="1466" spans="1:20" x14ac:dyDescent="0.25">
      <c r="A146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6" t="str">
        <f>SUBSTITUTE(SUBSTITUTE(tabSource[[#This Row],[ID]],"&lt;",""),"&gt;","")</f>
        <v>E41481951</v>
      </c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</row>
    <row r="1467" spans="1:20" x14ac:dyDescent="0.25">
      <c r="A146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7" t="str">
        <f>SUBSTITUTE(SUBSTITUTE(tabSource[[#This Row],[ID]],"&lt;",""),"&gt;","")</f>
        <v>E41482140</v>
      </c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</row>
    <row r="1468" spans="1:20" x14ac:dyDescent="0.25">
      <c r="A146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8" t="str">
        <f>SUBSTITUTE(SUBSTITUTE(tabSource[[#This Row],[ID]],"&lt;",""),"&gt;","")</f>
        <v>E41482150</v>
      </c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</row>
    <row r="1469" spans="1:20" x14ac:dyDescent="0.25">
      <c r="A146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6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69" t="str">
        <f>SUBSTITUTE(SUBSTITUTE(tabSource[[#This Row],[ID]],"&lt;",""),"&gt;","")</f>
        <v>E41482151</v>
      </c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</row>
    <row r="1470" spans="1:20" x14ac:dyDescent="0.25">
      <c r="A147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0" t="str">
        <f>SUBSTITUTE(SUBSTITUTE(tabSource[[#This Row],[ID]],"&lt;",""),"&gt;","")</f>
        <v>E5000140</v>
      </c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</row>
    <row r="1471" spans="1:20" x14ac:dyDescent="0.25">
      <c r="A147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1" t="str">
        <f>SUBSTITUTE(SUBSTITUTE(tabSource[[#This Row],[ID]],"&lt;",""),"&gt;","")</f>
        <v>E5000150</v>
      </c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</row>
    <row r="1472" spans="1:20" x14ac:dyDescent="0.25">
      <c r="A147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2" t="str">
        <f>SUBSTITUTE(SUBSTITUTE(tabSource[[#This Row],[ID]],"&lt;",""),"&gt;","")</f>
        <v>E5000240</v>
      </c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</row>
    <row r="1473" spans="1:20" x14ac:dyDescent="0.25">
      <c r="A147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3" t="str">
        <f>SUBSTITUTE(SUBSTITUTE(tabSource[[#This Row],[ID]],"&lt;",""),"&gt;","")</f>
        <v>E5000250</v>
      </c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</row>
    <row r="1474" spans="1:20" x14ac:dyDescent="0.25">
      <c r="A147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4" t="str">
        <f>SUBSTITUTE(SUBSTITUTE(tabSource[[#This Row],[ID]],"&lt;",""),"&gt;","")</f>
        <v>E5000340</v>
      </c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</row>
    <row r="1475" spans="1:20" x14ac:dyDescent="0.25">
      <c r="A147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5" t="str">
        <f>SUBSTITUTE(SUBSTITUTE(tabSource[[#This Row],[ID]],"&lt;",""),"&gt;","")</f>
        <v>E5000350</v>
      </c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</row>
    <row r="1476" spans="1:20" x14ac:dyDescent="0.25">
      <c r="A147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6" t="str">
        <f>SUBSTITUTE(SUBSTITUTE(tabSource[[#This Row],[ID]],"&lt;",""),"&gt;","")</f>
        <v>E5000440</v>
      </c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</row>
    <row r="1477" spans="1:20" x14ac:dyDescent="0.25">
      <c r="A147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7" t="str">
        <f>SUBSTITUTE(SUBSTITUTE(tabSource[[#This Row],[ID]],"&lt;",""),"&gt;","")</f>
        <v>E5000450</v>
      </c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</row>
    <row r="1478" spans="1:20" x14ac:dyDescent="0.25">
      <c r="A147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8" t="str">
        <f>SUBSTITUTE(SUBSTITUTE(tabSource[[#This Row],[ID]],"&lt;",""),"&gt;","")</f>
        <v>E5000640</v>
      </c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</row>
    <row r="1479" spans="1:20" x14ac:dyDescent="0.25">
      <c r="A147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7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79" t="str">
        <f>SUBSTITUTE(SUBSTITUTE(tabSource[[#This Row],[ID]],"&lt;",""),"&gt;","")</f>
        <v>E5000650</v>
      </c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</row>
    <row r="1480" spans="1:20" x14ac:dyDescent="0.25">
      <c r="A148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0" t="str">
        <f>SUBSTITUTE(SUBSTITUTE(tabSource[[#This Row],[ID]],"&lt;",""),"&gt;","")</f>
        <v>E5000651</v>
      </c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</row>
    <row r="1481" spans="1:20" x14ac:dyDescent="0.25">
      <c r="A148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1" t="str">
        <f>SUBSTITUTE(SUBSTITUTE(tabSource[[#This Row],[ID]],"&lt;",""),"&gt;","")</f>
        <v>E5000740</v>
      </c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</row>
    <row r="1482" spans="1:20" x14ac:dyDescent="0.25">
      <c r="A148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2" t="str">
        <f>SUBSTITUTE(SUBSTITUTE(tabSource[[#This Row],[ID]],"&lt;",""),"&gt;","")</f>
        <v>E5000750</v>
      </c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</row>
    <row r="1483" spans="1:20" x14ac:dyDescent="0.25">
      <c r="A148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3" t="str">
        <f>SUBSTITUTE(SUBSTITUTE(tabSource[[#This Row],[ID]],"&lt;",""),"&gt;","")</f>
        <v>E5000751</v>
      </c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</row>
    <row r="1484" spans="1:20" x14ac:dyDescent="0.25">
      <c r="A1484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4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4" t="str">
        <f>SUBSTITUTE(SUBSTITUTE(tabSource[[#This Row],[ID]],"&lt;",""),"&gt;","")</f>
        <v>E5000840</v>
      </c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</row>
    <row r="1485" spans="1:20" x14ac:dyDescent="0.25">
      <c r="A1485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5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5" t="str">
        <f>SUBSTITUTE(SUBSTITUTE(tabSource[[#This Row],[ID]],"&lt;",""),"&gt;","")</f>
        <v>E5000850</v>
      </c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</row>
    <row r="1486" spans="1:20" x14ac:dyDescent="0.25">
      <c r="A1486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6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6" t="str">
        <f>SUBSTITUTE(SUBSTITUTE(tabSource[[#This Row],[ID]],"&lt;",""),"&gt;","")</f>
        <v>E5000851</v>
      </c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</row>
    <row r="1487" spans="1:20" x14ac:dyDescent="0.25">
      <c r="A148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7" t="str">
        <f>SUBSTITUTE(SUBSTITUTE(tabSource[[#This Row],[ID]],"&lt;",""),"&gt;","")</f>
        <v>E5000940</v>
      </c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</row>
    <row r="1488" spans="1:20" x14ac:dyDescent="0.25">
      <c r="A1488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8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8" t="str">
        <f>SUBSTITUTE(SUBSTITUTE(tabSource[[#This Row],[ID]],"&lt;",""),"&gt;","")</f>
        <v>E5000950</v>
      </c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</row>
    <row r="1489" spans="1:20" x14ac:dyDescent="0.25">
      <c r="A1489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89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89" t="str">
        <f>SUBSTITUTE(SUBSTITUTE(tabSource[[#This Row],[ID]],"&lt;",""),"&gt;","")</f>
        <v>E5000951</v>
      </c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</row>
    <row r="1490" spans="1:20" x14ac:dyDescent="0.25">
      <c r="A1490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0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0" t="str">
        <f>SUBSTITUTE(SUBSTITUTE(tabSource[[#This Row],[ID]],"&lt;",""),"&gt;","")</f>
        <v>E5001040</v>
      </c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</row>
    <row r="1491" spans="1:20" x14ac:dyDescent="0.25">
      <c r="A1491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1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1" t="str">
        <f>SUBSTITUTE(SUBSTITUTE(tabSource[[#This Row],[ID]],"&lt;",""),"&gt;","")</f>
        <v>E5001050</v>
      </c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</row>
    <row r="1492" spans="1:20" x14ac:dyDescent="0.25">
      <c r="A1492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2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2" t="str">
        <f>SUBSTITUTE(SUBSTITUTE(tabSource[[#This Row],[ID]],"&lt;",""),"&gt;","")</f>
        <v>E5001051</v>
      </c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</row>
    <row r="1493" spans="1:20" x14ac:dyDescent="0.25">
      <c r="A1493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3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3" t="str">
        <f>SUBSTITUTE(SUBSTITUTE(tabSource[[#This Row],[ID]],"&lt;",""),"&gt;","")</f>
        <v>E5001140</v>
      </c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</row>
    <row r="1494" spans="1:20" x14ac:dyDescent="0.25">
      <c r="A149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4" s="37" t="str">
        <f>SUBSTITUTE(SUBSTITUTE(tabSource[[#This Row],[ID]],"&lt;",""),"&gt;","")</f>
        <v>E5001150</v>
      </c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</row>
    <row r="1495" spans="1:20" x14ac:dyDescent="0.25">
      <c r="A149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5" s="37" t="str">
        <f>SUBSTITUTE(SUBSTITUTE(tabSource[[#This Row],[ID]],"&lt;",""),"&gt;","")</f>
        <v>E5001151</v>
      </c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</row>
    <row r="1496" spans="1:20" x14ac:dyDescent="0.25">
      <c r="A149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6" s="37" t="str">
        <f>SUBSTITUTE(SUBSTITUTE(tabSource[[#This Row],[ID]],"&lt;",""),"&gt;","")</f>
        <v>E5330640</v>
      </c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</row>
    <row r="1497" spans="1:20" x14ac:dyDescent="0.25">
      <c r="A149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7" s="37" t="str">
        <f>SUBSTITUTE(SUBSTITUTE(tabSource[[#This Row],[ID]],"&lt;",""),"&gt;","")</f>
        <v>E5330740</v>
      </c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</row>
    <row r="1498" spans="1:20" x14ac:dyDescent="0.25">
      <c r="A149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8" s="37" t="str">
        <f>SUBSTITUTE(SUBSTITUTE(tabSource[[#This Row],[ID]],"&lt;",""),"&gt;","")</f>
        <v>E5330840</v>
      </c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</row>
    <row r="1499" spans="1:20" x14ac:dyDescent="0.25">
      <c r="A149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49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499" s="37" t="str">
        <f>SUBSTITUTE(SUBSTITUTE(tabSource[[#This Row],[ID]],"&lt;",""),"&gt;","")</f>
        <v>E5330940</v>
      </c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</row>
    <row r="1500" spans="1:20" x14ac:dyDescent="0.25">
      <c r="A150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0" s="37" t="str">
        <f>SUBSTITUTE(SUBSTITUTE(tabSource[[#This Row],[ID]],"&lt;",""),"&gt;","")</f>
        <v>E5331040</v>
      </c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</row>
    <row r="1501" spans="1:20" x14ac:dyDescent="0.25">
      <c r="A150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1" s="37" t="str">
        <f>SUBSTITUTE(SUBSTITUTE(tabSource[[#This Row],[ID]],"&lt;",""),"&gt;","")</f>
        <v>E5331140</v>
      </c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</row>
    <row r="1502" spans="1:20" x14ac:dyDescent="0.25">
      <c r="A150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2" s="37" t="str">
        <f>SUBSTITUTE(SUBSTITUTE(tabSource[[#This Row],[ID]],"&lt;",""),"&gt;","")</f>
        <v>E5420140</v>
      </c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</row>
    <row r="1503" spans="1:20" x14ac:dyDescent="0.25">
      <c r="A150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3" s="37" t="str">
        <f>SUBSTITUTE(SUBSTITUTE(tabSource[[#This Row],[ID]],"&lt;",""),"&gt;","")</f>
        <v>E5420150</v>
      </c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</row>
    <row r="1504" spans="1:20" x14ac:dyDescent="0.25">
      <c r="A150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4" s="37" t="str">
        <f>SUBSTITUTE(SUBSTITUTE(tabSource[[#This Row],[ID]],"&lt;",""),"&gt;","")</f>
        <v>E5420240</v>
      </c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</row>
    <row r="1505" spans="1:20" x14ac:dyDescent="0.25">
      <c r="A150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5" s="37" t="str">
        <f>SUBSTITUTE(SUBSTITUTE(tabSource[[#This Row],[ID]],"&lt;",""),"&gt;","")</f>
        <v>E5420250</v>
      </c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</row>
    <row r="1506" spans="1:20" x14ac:dyDescent="0.25">
      <c r="A150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6" s="37" t="str">
        <f>SUBSTITUTE(SUBSTITUTE(tabSource[[#This Row],[ID]],"&lt;",""),"&gt;","")</f>
        <v>E5420340</v>
      </c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</row>
    <row r="1507" spans="1:20" x14ac:dyDescent="0.25">
      <c r="A150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7" s="37" t="str">
        <f>SUBSTITUTE(SUBSTITUTE(tabSource[[#This Row],[ID]],"&lt;",""),"&gt;","")</f>
        <v>E5420350</v>
      </c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</row>
    <row r="1508" spans="1:20" x14ac:dyDescent="0.25">
      <c r="A150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8" s="37" t="str">
        <f>SUBSTITUTE(SUBSTITUTE(tabSource[[#This Row],[ID]],"&lt;",""),"&gt;","")</f>
        <v>E5420440</v>
      </c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</row>
    <row r="1509" spans="1:20" x14ac:dyDescent="0.25">
      <c r="A150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0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09" s="37" t="str">
        <f>SUBSTITUTE(SUBSTITUTE(tabSource[[#This Row],[ID]],"&lt;",""),"&gt;","")</f>
        <v>E5420450</v>
      </c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</row>
    <row r="1510" spans="1:20" x14ac:dyDescent="0.25">
      <c r="A151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0" s="37" t="str">
        <f>SUBSTITUTE(SUBSTITUTE(tabSource[[#This Row],[ID]],"&lt;",""),"&gt;","")</f>
        <v>E5420640</v>
      </c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</row>
    <row r="1511" spans="1:20" x14ac:dyDescent="0.25">
      <c r="A151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1" s="37" t="str">
        <f>SUBSTITUTE(SUBSTITUTE(tabSource[[#This Row],[ID]],"&lt;",""),"&gt;","")</f>
        <v>E5420650</v>
      </c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</row>
    <row r="1512" spans="1:20" x14ac:dyDescent="0.25">
      <c r="A151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2" s="37" t="str">
        <f>SUBSTITUTE(SUBSTITUTE(tabSource[[#This Row],[ID]],"&lt;",""),"&gt;","")</f>
        <v>E5420651</v>
      </c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</row>
    <row r="1513" spans="1:20" x14ac:dyDescent="0.25">
      <c r="A151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3" s="37" t="str">
        <f>SUBSTITUTE(SUBSTITUTE(tabSource[[#This Row],[ID]],"&lt;",""),"&gt;","")</f>
        <v>E5420740</v>
      </c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</row>
    <row r="1514" spans="1:20" x14ac:dyDescent="0.25">
      <c r="A151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4" s="37" t="str">
        <f>SUBSTITUTE(SUBSTITUTE(tabSource[[#This Row],[ID]],"&lt;",""),"&gt;","")</f>
        <v>E5420750</v>
      </c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</row>
    <row r="1515" spans="1:20" x14ac:dyDescent="0.25">
      <c r="A151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5" s="37" t="str">
        <f>SUBSTITUTE(SUBSTITUTE(tabSource[[#This Row],[ID]],"&lt;",""),"&gt;","")</f>
        <v>E5420751</v>
      </c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</row>
    <row r="1516" spans="1:20" x14ac:dyDescent="0.25">
      <c r="A151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6" s="37" t="str">
        <f>SUBSTITUTE(SUBSTITUTE(tabSource[[#This Row],[ID]],"&lt;",""),"&gt;","")</f>
        <v>E5420840</v>
      </c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</row>
    <row r="1517" spans="1:20" x14ac:dyDescent="0.25">
      <c r="A151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7" s="37" t="str">
        <f>SUBSTITUTE(SUBSTITUTE(tabSource[[#This Row],[ID]],"&lt;",""),"&gt;","")</f>
        <v>E5420850</v>
      </c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</row>
    <row r="1518" spans="1:20" x14ac:dyDescent="0.25">
      <c r="A151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8" s="37" t="str">
        <f>SUBSTITUTE(SUBSTITUTE(tabSource[[#This Row],[ID]],"&lt;",""),"&gt;","")</f>
        <v>E5420851</v>
      </c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</row>
    <row r="1519" spans="1:20" x14ac:dyDescent="0.25">
      <c r="A151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1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19" s="37" t="str">
        <f>SUBSTITUTE(SUBSTITUTE(tabSource[[#This Row],[ID]],"&lt;",""),"&gt;","")</f>
        <v>E5420940</v>
      </c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</row>
    <row r="1520" spans="1:20" x14ac:dyDescent="0.25">
      <c r="A152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0" s="37" t="str">
        <f>SUBSTITUTE(SUBSTITUTE(tabSource[[#This Row],[ID]],"&lt;",""),"&gt;","")</f>
        <v>E5420950</v>
      </c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</row>
    <row r="1521" spans="1:20" x14ac:dyDescent="0.25">
      <c r="A152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1" s="37" t="str">
        <f>SUBSTITUTE(SUBSTITUTE(tabSource[[#This Row],[ID]],"&lt;",""),"&gt;","")</f>
        <v>E5420951</v>
      </c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</row>
    <row r="1522" spans="1:20" x14ac:dyDescent="0.25">
      <c r="A152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2" s="37" t="str">
        <f>SUBSTITUTE(SUBSTITUTE(tabSource[[#This Row],[ID]],"&lt;",""),"&gt;","")</f>
        <v>E5421040</v>
      </c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</row>
    <row r="1523" spans="1:20" x14ac:dyDescent="0.25">
      <c r="A152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3" s="37" t="str">
        <f>SUBSTITUTE(SUBSTITUTE(tabSource[[#This Row],[ID]],"&lt;",""),"&gt;","")</f>
        <v>E5421050</v>
      </c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</row>
    <row r="1524" spans="1:20" x14ac:dyDescent="0.25">
      <c r="A152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4" s="37" t="str">
        <f>SUBSTITUTE(SUBSTITUTE(tabSource[[#This Row],[ID]],"&lt;",""),"&gt;","")</f>
        <v>E5421051</v>
      </c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</row>
    <row r="1525" spans="1:20" x14ac:dyDescent="0.25">
      <c r="A152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5" s="37" t="str">
        <f>SUBSTITUTE(SUBSTITUTE(tabSource[[#This Row],[ID]],"&lt;",""),"&gt;","")</f>
        <v>E5421140</v>
      </c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</row>
    <row r="1526" spans="1:20" x14ac:dyDescent="0.25">
      <c r="A152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6" s="37" t="str">
        <f>SUBSTITUTE(SUBSTITUTE(tabSource[[#This Row],[ID]],"&lt;",""),"&gt;","")</f>
        <v>E5421150</v>
      </c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</row>
    <row r="1527" spans="1:20" x14ac:dyDescent="0.25">
      <c r="A152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7" s="37" t="str">
        <f>SUBSTITUTE(SUBSTITUTE(tabSource[[#This Row],[ID]],"&lt;",""),"&gt;","")</f>
        <v>E5421151</v>
      </c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</row>
    <row r="1528" spans="1:20" x14ac:dyDescent="0.25">
      <c r="A152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8" s="37" t="str">
        <f>SUBSTITUTE(SUBSTITUTE(tabSource[[#This Row],[ID]],"&lt;",""),"&gt;","")</f>
        <v>E6000140</v>
      </c>
      <c r="D1528"/>
      <c r="E1528"/>
      <c r="F1528"/>
      <c r="G1528"/>
      <c r="I1528"/>
      <c r="J1528"/>
      <c r="K1528"/>
      <c r="L1528"/>
      <c r="M1528"/>
      <c r="O1528"/>
      <c r="P1528"/>
      <c r="Q1528"/>
    </row>
    <row r="1529" spans="1:20" x14ac:dyDescent="0.25">
      <c r="A152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2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29" s="37" t="str">
        <f>SUBSTITUTE(SUBSTITUTE(tabSource[[#This Row],[ID]],"&lt;",""),"&gt;","")</f>
        <v>E6000150</v>
      </c>
      <c r="D1529"/>
      <c r="E1529"/>
      <c r="F1529"/>
      <c r="G1529"/>
      <c r="I1529"/>
      <c r="J1529"/>
      <c r="K1529"/>
      <c r="L1529"/>
      <c r="M1529"/>
      <c r="O1529"/>
      <c r="P1529"/>
      <c r="Q1529"/>
    </row>
    <row r="1530" spans="1:20" x14ac:dyDescent="0.25">
      <c r="A153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0" s="37" t="str">
        <f>SUBSTITUTE(SUBSTITUTE(tabSource[[#This Row],[ID]],"&lt;",""),"&gt;","")</f>
        <v>E6000240</v>
      </c>
      <c r="D1530"/>
      <c r="E1530"/>
      <c r="F1530"/>
      <c r="G1530"/>
      <c r="I1530"/>
      <c r="J1530"/>
      <c r="K1530"/>
      <c r="L1530"/>
      <c r="M1530"/>
      <c r="O1530"/>
      <c r="P1530"/>
      <c r="Q1530"/>
    </row>
    <row r="1531" spans="1:20" x14ac:dyDescent="0.25">
      <c r="A153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1" s="37" t="str">
        <f>SUBSTITUTE(SUBSTITUTE(tabSource[[#This Row],[ID]],"&lt;",""),"&gt;","")</f>
        <v>E6000250</v>
      </c>
      <c r="D1531"/>
      <c r="E1531"/>
      <c r="F1531"/>
      <c r="G1531"/>
      <c r="I1531"/>
      <c r="J1531"/>
      <c r="K1531"/>
      <c r="L1531"/>
      <c r="M1531"/>
      <c r="O1531"/>
      <c r="P1531"/>
      <c r="Q1531"/>
    </row>
    <row r="1532" spans="1:20" x14ac:dyDescent="0.25">
      <c r="A153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2" s="37" t="str">
        <f>SUBSTITUTE(SUBSTITUTE(tabSource[[#This Row],[ID]],"&lt;",""),"&gt;","")</f>
        <v>E6000340</v>
      </c>
      <c r="D1532"/>
      <c r="E1532"/>
      <c r="F1532"/>
      <c r="G1532"/>
      <c r="I1532"/>
      <c r="J1532"/>
      <c r="K1532"/>
      <c r="L1532"/>
      <c r="M1532"/>
      <c r="O1532"/>
      <c r="P1532"/>
      <c r="Q1532"/>
    </row>
    <row r="1533" spans="1:20" x14ac:dyDescent="0.25">
      <c r="A153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3" s="37" t="str">
        <f>SUBSTITUTE(SUBSTITUTE(tabSource[[#This Row],[ID]],"&lt;",""),"&gt;","")</f>
        <v>E6000350</v>
      </c>
      <c r="D1533"/>
      <c r="E1533"/>
      <c r="F1533"/>
      <c r="G1533"/>
      <c r="I1533"/>
      <c r="J1533"/>
      <c r="K1533"/>
      <c r="L1533"/>
      <c r="M1533"/>
      <c r="O1533"/>
      <c r="P1533"/>
      <c r="Q1533"/>
    </row>
    <row r="1534" spans="1:20" x14ac:dyDescent="0.25">
      <c r="A153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4" s="37" t="str">
        <f>SUBSTITUTE(SUBSTITUTE(tabSource[[#This Row],[ID]],"&lt;",""),"&gt;","")</f>
        <v>E6000800</v>
      </c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</row>
    <row r="1535" spans="1:20" x14ac:dyDescent="0.25">
      <c r="A153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5" s="37" t="str">
        <f>SUBSTITUTE(SUBSTITUTE(tabSource[[#This Row],[ID]],"&lt;",""),"&gt;","")</f>
        <v>E6000820</v>
      </c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</row>
    <row r="1536" spans="1:20" x14ac:dyDescent="0.25">
      <c r="A153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6" s="37" t="str">
        <f>SUBSTITUTE(SUBSTITUTE(tabSource[[#This Row],[ID]],"&lt;",""),"&gt;","")</f>
        <v>E6000840</v>
      </c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</row>
    <row r="1537" spans="1:20" x14ac:dyDescent="0.25">
      <c r="A153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7" s="37" t="str">
        <f>SUBSTITUTE(SUBSTITUTE(tabSource[[#This Row],[ID]],"&lt;",""),"&gt;","")</f>
        <v>E6000850</v>
      </c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</row>
    <row r="1538" spans="1:20" x14ac:dyDescent="0.25">
      <c r="A153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8" s="37" t="str">
        <f>SUBSTITUTE(SUBSTITUTE(tabSource[[#This Row],[ID]],"&lt;",""),"&gt;","")</f>
        <v>E6000851</v>
      </c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</row>
    <row r="1539" spans="1:20" x14ac:dyDescent="0.25">
      <c r="A153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3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39" s="37" t="str">
        <f>SUBSTITUTE(SUBSTITUTE(tabSource[[#This Row],[ID]],"&lt;",""),"&gt;","")</f>
        <v>E6000900</v>
      </c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</row>
    <row r="1540" spans="1:20" x14ac:dyDescent="0.25">
      <c r="A154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0" s="37" t="str">
        <f>SUBSTITUTE(SUBSTITUTE(tabSource[[#This Row],[ID]],"&lt;",""),"&gt;","")</f>
        <v>E6000920</v>
      </c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</row>
    <row r="1541" spans="1:20" x14ac:dyDescent="0.25">
      <c r="A154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1" s="37" t="str">
        <f>SUBSTITUTE(SUBSTITUTE(tabSource[[#This Row],[ID]],"&lt;",""),"&gt;","")</f>
        <v>E6000940</v>
      </c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</row>
    <row r="1542" spans="1:20" x14ac:dyDescent="0.25">
      <c r="A154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2" s="37" t="str">
        <f>SUBSTITUTE(SUBSTITUTE(tabSource[[#This Row],[ID]],"&lt;",""),"&gt;","")</f>
        <v>E6000950</v>
      </c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</row>
    <row r="1543" spans="1:20" x14ac:dyDescent="0.25">
      <c r="A154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3" s="37" t="str">
        <f>SUBSTITUTE(SUBSTITUTE(tabSource[[#This Row],[ID]],"&lt;",""),"&gt;","")</f>
        <v>E6000951</v>
      </c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</row>
    <row r="1544" spans="1:20" x14ac:dyDescent="0.25">
      <c r="A154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4" s="37" t="str">
        <f>SUBSTITUTE(SUBSTITUTE(tabSource[[#This Row],[ID]],"&lt;",""),"&gt;","")</f>
        <v>E6001000</v>
      </c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</row>
    <row r="1545" spans="1:20" x14ac:dyDescent="0.25">
      <c r="A154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5" s="37" t="str">
        <f>SUBSTITUTE(SUBSTITUTE(tabSource[[#This Row],[ID]],"&lt;",""),"&gt;","")</f>
        <v>E6001020</v>
      </c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</row>
    <row r="1546" spans="1:20" x14ac:dyDescent="0.25">
      <c r="A154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6" s="37" t="str">
        <f>SUBSTITUTE(SUBSTITUTE(tabSource[[#This Row],[ID]],"&lt;",""),"&gt;","")</f>
        <v>E6001040</v>
      </c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</row>
    <row r="1547" spans="1:20" x14ac:dyDescent="0.25">
      <c r="A154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7" s="37" t="str">
        <f>SUBSTITUTE(SUBSTITUTE(tabSource[[#This Row],[ID]],"&lt;",""),"&gt;","")</f>
        <v>E6001050</v>
      </c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</row>
    <row r="1548" spans="1:20" x14ac:dyDescent="0.25">
      <c r="A154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8" s="37" t="str">
        <f>SUBSTITUTE(SUBSTITUTE(tabSource[[#This Row],[ID]],"&lt;",""),"&gt;","")</f>
        <v>E6001051</v>
      </c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</row>
    <row r="1549" spans="1:20" x14ac:dyDescent="0.25">
      <c r="A154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4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49" s="37" t="str">
        <f>SUBSTITUTE(SUBSTITUTE(tabSource[[#This Row],[ID]],"&lt;",""),"&gt;","")</f>
        <v>E6001100</v>
      </c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</row>
    <row r="1550" spans="1:20" x14ac:dyDescent="0.25">
      <c r="A155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0" s="37" t="str">
        <f>SUBSTITUTE(SUBSTITUTE(tabSource[[#This Row],[ID]],"&lt;",""),"&gt;","")</f>
        <v>E6001120</v>
      </c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</row>
    <row r="1551" spans="1:20" x14ac:dyDescent="0.25">
      <c r="A155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1" s="37" t="str">
        <f>SUBSTITUTE(SUBSTITUTE(tabSource[[#This Row],[ID]],"&lt;",""),"&gt;","")</f>
        <v>E6001140</v>
      </c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</row>
    <row r="1552" spans="1:20" x14ac:dyDescent="0.25">
      <c r="A155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2" s="37" t="str">
        <f>SUBSTITUTE(SUBSTITUTE(tabSource[[#This Row],[ID]],"&lt;",""),"&gt;","")</f>
        <v>E6001150</v>
      </c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</row>
    <row r="1553" spans="1:20" x14ac:dyDescent="0.25">
      <c r="A155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3" s="37" t="str">
        <f>SUBSTITUTE(SUBSTITUTE(tabSource[[#This Row],[ID]],"&lt;",""),"&gt;","")</f>
        <v>E6001151</v>
      </c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</row>
    <row r="1554" spans="1:20" x14ac:dyDescent="0.25">
      <c r="A155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4" s="37" t="str">
        <f>SUBSTITUTE(SUBSTITUTE(tabSource[[#This Row],[ID]],"&lt;",""),"&gt;","")</f>
        <v>E6001200</v>
      </c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</row>
    <row r="1555" spans="1:20" x14ac:dyDescent="0.25">
      <c r="A155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5" s="37" t="str">
        <f>SUBSTITUTE(SUBSTITUTE(tabSource[[#This Row],[ID]],"&lt;",""),"&gt;","")</f>
        <v>E6001220</v>
      </c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</row>
    <row r="1556" spans="1:20" x14ac:dyDescent="0.25">
      <c r="A155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6" s="37" t="str">
        <f>SUBSTITUTE(SUBSTITUTE(tabSource[[#This Row],[ID]],"&lt;",""),"&gt;","")</f>
        <v>E6001240</v>
      </c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</row>
    <row r="1557" spans="1:20" x14ac:dyDescent="0.25">
      <c r="A155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7" s="37" t="str">
        <f>SUBSTITUTE(SUBSTITUTE(tabSource[[#This Row],[ID]],"&lt;",""),"&gt;","")</f>
        <v>E6001250</v>
      </c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</row>
    <row r="1558" spans="1:20" x14ac:dyDescent="0.25">
      <c r="A155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8" s="37" t="str">
        <f>SUBSTITUTE(SUBSTITUTE(tabSource[[#This Row],[ID]],"&lt;",""),"&gt;","")</f>
        <v>E6001251</v>
      </c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</row>
    <row r="1559" spans="1:20" x14ac:dyDescent="0.25">
      <c r="A155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5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59" s="37" t="str">
        <f>SUBSTITUTE(SUBSTITUTE(tabSource[[#This Row],[ID]],"&lt;",""),"&gt;","")</f>
        <v>E6001300</v>
      </c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</row>
    <row r="1560" spans="1:20" x14ac:dyDescent="0.25">
      <c r="A156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0" s="37" t="str">
        <f>SUBSTITUTE(SUBSTITUTE(tabSource[[#This Row],[ID]],"&lt;",""),"&gt;","")</f>
        <v>E6001320</v>
      </c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</row>
    <row r="1561" spans="1:20" x14ac:dyDescent="0.25">
      <c r="A156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1" s="37" t="str">
        <f>SUBSTITUTE(SUBSTITUTE(tabSource[[#This Row],[ID]],"&lt;",""),"&gt;","")</f>
        <v>E6001340</v>
      </c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</row>
    <row r="1562" spans="1:20" x14ac:dyDescent="0.25">
      <c r="A156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2" s="37" t="str">
        <f>SUBSTITUTE(SUBSTITUTE(tabSource[[#This Row],[ID]],"&lt;",""),"&gt;","")</f>
        <v>E6001350</v>
      </c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</row>
    <row r="1563" spans="1:20" x14ac:dyDescent="0.25">
      <c r="A156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3" s="37" t="str">
        <f>SUBSTITUTE(SUBSTITUTE(tabSource[[#This Row],[ID]],"&lt;",""),"&gt;","")</f>
        <v>E6001351</v>
      </c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</row>
    <row r="1564" spans="1:20" x14ac:dyDescent="0.25">
      <c r="A156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4" s="37" t="str">
        <f>SUBSTITUTE(SUBSTITUTE(tabSource[[#This Row],[ID]],"&lt;",""),"&gt;","")</f>
        <v>E61000140</v>
      </c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</row>
    <row r="1565" spans="1:20" x14ac:dyDescent="0.25">
      <c r="A156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5" s="37" t="str">
        <f>SUBSTITUTE(SUBSTITUTE(tabSource[[#This Row],[ID]],"&lt;",""),"&gt;","")</f>
        <v>E61000150</v>
      </c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</row>
    <row r="1566" spans="1:20" x14ac:dyDescent="0.25">
      <c r="A156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6" s="37" t="str">
        <f>SUBSTITUTE(SUBSTITUTE(tabSource[[#This Row],[ID]],"&lt;",""),"&gt;","")</f>
        <v>E61000240</v>
      </c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</row>
    <row r="1567" spans="1:20" x14ac:dyDescent="0.25">
      <c r="A156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7" s="37" t="str">
        <f>SUBSTITUTE(SUBSTITUTE(tabSource[[#This Row],[ID]],"&lt;",""),"&gt;","")</f>
        <v>E61000250</v>
      </c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</row>
    <row r="1568" spans="1:20" x14ac:dyDescent="0.25">
      <c r="A156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8" s="37" t="str">
        <f>SUBSTITUTE(SUBSTITUTE(tabSource[[#This Row],[ID]],"&lt;",""),"&gt;","")</f>
        <v>E61000340</v>
      </c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</row>
    <row r="1569" spans="1:20" x14ac:dyDescent="0.25">
      <c r="A156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6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69" s="37" t="str">
        <f>SUBSTITUTE(SUBSTITUTE(tabSource[[#This Row],[ID]],"&lt;",""),"&gt;","")</f>
        <v>E61000350</v>
      </c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</row>
    <row r="1570" spans="1:20" x14ac:dyDescent="0.25">
      <c r="A157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0" s="37" t="str">
        <f>SUBSTITUTE(SUBSTITUTE(tabSource[[#This Row],[ID]],"&lt;",""),"&gt;","")</f>
        <v>E61000840</v>
      </c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</row>
    <row r="1571" spans="1:20" x14ac:dyDescent="0.25">
      <c r="A157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1" s="37" t="str">
        <f>SUBSTITUTE(SUBSTITUTE(tabSource[[#This Row],[ID]],"&lt;",""),"&gt;","")</f>
        <v>E61000850</v>
      </c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</row>
    <row r="1572" spans="1:20" x14ac:dyDescent="0.25">
      <c r="A157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2" s="37" t="str">
        <f>SUBSTITUTE(SUBSTITUTE(tabSource[[#This Row],[ID]],"&lt;",""),"&gt;","")</f>
        <v>E61000851</v>
      </c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</row>
    <row r="1573" spans="1:20" x14ac:dyDescent="0.25">
      <c r="A157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3" s="37" t="str">
        <f>SUBSTITUTE(SUBSTITUTE(tabSource[[#This Row],[ID]],"&lt;",""),"&gt;","")</f>
        <v>E61000940</v>
      </c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</row>
    <row r="1574" spans="1:20" x14ac:dyDescent="0.25">
      <c r="A157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4" s="37" t="str">
        <f>SUBSTITUTE(SUBSTITUTE(tabSource[[#This Row],[ID]],"&lt;",""),"&gt;","")</f>
        <v>E61000950</v>
      </c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</row>
    <row r="1575" spans="1:20" x14ac:dyDescent="0.25">
      <c r="A157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5" s="37" t="str">
        <f>SUBSTITUTE(SUBSTITUTE(tabSource[[#This Row],[ID]],"&lt;",""),"&gt;","")</f>
        <v>E61000951</v>
      </c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</row>
    <row r="1576" spans="1:20" x14ac:dyDescent="0.25">
      <c r="A157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6" s="37" t="str">
        <f>SUBSTITUTE(SUBSTITUTE(tabSource[[#This Row],[ID]],"&lt;",""),"&gt;","")</f>
        <v>E61001040</v>
      </c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</row>
    <row r="1577" spans="1:20" x14ac:dyDescent="0.25">
      <c r="A157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7" s="37" t="str">
        <f>SUBSTITUTE(SUBSTITUTE(tabSource[[#This Row],[ID]],"&lt;",""),"&gt;","")</f>
        <v>E61001050</v>
      </c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</row>
    <row r="1578" spans="1:20" x14ac:dyDescent="0.25">
      <c r="A157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8" s="37" t="str">
        <f>SUBSTITUTE(SUBSTITUTE(tabSource[[#This Row],[ID]],"&lt;",""),"&gt;","")</f>
        <v>E61001051</v>
      </c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</row>
    <row r="1579" spans="1:20" x14ac:dyDescent="0.25">
      <c r="A157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7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79" s="37" t="str">
        <f>SUBSTITUTE(SUBSTITUTE(tabSource[[#This Row],[ID]],"&lt;",""),"&gt;","")</f>
        <v>E61001140</v>
      </c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</row>
    <row r="1580" spans="1:20" x14ac:dyDescent="0.25">
      <c r="A158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0" s="37" t="str">
        <f>SUBSTITUTE(SUBSTITUTE(tabSource[[#This Row],[ID]],"&lt;",""),"&gt;","")</f>
        <v>E61001150</v>
      </c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</row>
    <row r="1581" spans="1:20" x14ac:dyDescent="0.25">
      <c r="A158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1" s="37" t="str">
        <f>SUBSTITUTE(SUBSTITUTE(tabSource[[#This Row],[ID]],"&lt;",""),"&gt;","")</f>
        <v>E61001151</v>
      </c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</row>
    <row r="1582" spans="1:20" x14ac:dyDescent="0.25">
      <c r="A158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2" s="37" t="str">
        <f>SUBSTITUTE(SUBSTITUTE(tabSource[[#This Row],[ID]],"&lt;",""),"&gt;","")</f>
        <v>E61420140</v>
      </c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</row>
    <row r="1583" spans="1:20" x14ac:dyDescent="0.25">
      <c r="A158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3" s="37" t="str">
        <f>SUBSTITUTE(SUBSTITUTE(tabSource[[#This Row],[ID]],"&lt;",""),"&gt;","")</f>
        <v>E61420150</v>
      </c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</row>
    <row r="1584" spans="1:20" x14ac:dyDescent="0.25">
      <c r="A158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4" s="37" t="str">
        <f>SUBSTITUTE(SUBSTITUTE(tabSource[[#This Row],[ID]],"&lt;",""),"&gt;","")</f>
        <v>E61420240</v>
      </c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</row>
    <row r="1585" spans="1:20" x14ac:dyDescent="0.25">
      <c r="A158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5" s="37" t="str">
        <f>SUBSTITUTE(SUBSTITUTE(tabSource[[#This Row],[ID]],"&lt;",""),"&gt;","")</f>
        <v>E61420250</v>
      </c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</row>
    <row r="1586" spans="1:20" x14ac:dyDescent="0.25">
      <c r="A158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6" s="37" t="str">
        <f>SUBSTITUTE(SUBSTITUTE(tabSource[[#This Row],[ID]],"&lt;",""),"&gt;","")</f>
        <v>E61420340</v>
      </c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</row>
    <row r="1587" spans="1:20" x14ac:dyDescent="0.25">
      <c r="A158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7" s="37" t="str">
        <f>SUBSTITUTE(SUBSTITUTE(tabSource[[#This Row],[ID]],"&lt;",""),"&gt;","")</f>
        <v>E61420350</v>
      </c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</row>
    <row r="1588" spans="1:20" x14ac:dyDescent="0.25">
      <c r="A158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8" s="37" t="str">
        <f>SUBSTITUTE(SUBSTITUTE(tabSource[[#This Row],[ID]],"&lt;",""),"&gt;","")</f>
        <v>E61420840</v>
      </c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</row>
    <row r="1589" spans="1:20" x14ac:dyDescent="0.25">
      <c r="A158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8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89" s="37" t="str">
        <f>SUBSTITUTE(SUBSTITUTE(tabSource[[#This Row],[ID]],"&lt;",""),"&gt;","")</f>
        <v>E61420850</v>
      </c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</row>
    <row r="1590" spans="1:20" x14ac:dyDescent="0.25">
      <c r="A159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0" s="37" t="str">
        <f>SUBSTITUTE(SUBSTITUTE(tabSource[[#This Row],[ID]],"&lt;",""),"&gt;","")</f>
        <v>E61420851</v>
      </c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</row>
    <row r="1591" spans="1:20" x14ac:dyDescent="0.25">
      <c r="A159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1" s="37" t="str">
        <f>SUBSTITUTE(SUBSTITUTE(tabSource[[#This Row],[ID]],"&lt;",""),"&gt;","")</f>
        <v>E61420940</v>
      </c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</row>
    <row r="1592" spans="1:20" x14ac:dyDescent="0.25">
      <c r="A159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2" s="37" t="str">
        <f>SUBSTITUTE(SUBSTITUTE(tabSource[[#This Row],[ID]],"&lt;",""),"&gt;","")</f>
        <v>E61420950</v>
      </c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</row>
    <row r="1593" spans="1:20" x14ac:dyDescent="0.25">
      <c r="A159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3" s="37" t="str">
        <f>SUBSTITUTE(SUBSTITUTE(tabSource[[#This Row],[ID]],"&lt;",""),"&gt;","")</f>
        <v>E61420951</v>
      </c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</row>
    <row r="1594" spans="1:20" x14ac:dyDescent="0.25">
      <c r="A159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4" s="37" t="str">
        <f>SUBSTITUTE(SUBSTITUTE(tabSource[[#This Row],[ID]],"&lt;",""),"&gt;","")</f>
        <v>E61421040</v>
      </c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</row>
    <row r="1595" spans="1:20" x14ac:dyDescent="0.25">
      <c r="A159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5" s="37" t="str">
        <f>SUBSTITUTE(SUBSTITUTE(tabSource[[#This Row],[ID]],"&lt;",""),"&gt;","")</f>
        <v>E61421050</v>
      </c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</row>
    <row r="1596" spans="1:20" x14ac:dyDescent="0.25">
      <c r="A159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6" s="37" t="str">
        <f>SUBSTITUTE(SUBSTITUTE(tabSource[[#This Row],[ID]],"&lt;",""),"&gt;","")</f>
        <v>E61421051</v>
      </c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</row>
    <row r="1597" spans="1:20" x14ac:dyDescent="0.25">
      <c r="A159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7" s="37" t="str">
        <f>SUBSTITUTE(SUBSTITUTE(tabSource[[#This Row],[ID]],"&lt;",""),"&gt;","")</f>
        <v>E61421140</v>
      </c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</row>
    <row r="1598" spans="1:20" x14ac:dyDescent="0.25">
      <c r="A159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8" s="37" t="str">
        <f>SUBSTITUTE(SUBSTITUTE(tabSource[[#This Row],[ID]],"&lt;",""),"&gt;","")</f>
        <v>E61421150</v>
      </c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</row>
    <row r="1599" spans="1:20" x14ac:dyDescent="0.25">
      <c r="A159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59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599" s="37" t="str">
        <f>SUBSTITUTE(SUBSTITUTE(tabSource[[#This Row],[ID]],"&lt;",""),"&gt;","")</f>
        <v>E61421151</v>
      </c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</row>
    <row r="1600" spans="1:20" x14ac:dyDescent="0.25">
      <c r="A160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0" s="37" t="str">
        <f>SUBSTITUTE(SUBSTITUTE(tabSource[[#This Row],[ID]],"&lt;",""),"&gt;","")</f>
        <v>E62000850</v>
      </c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</row>
    <row r="1601" spans="1:20" x14ac:dyDescent="0.25">
      <c r="A160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1" s="37" t="str">
        <f>SUBSTITUTE(SUBSTITUTE(tabSource[[#This Row],[ID]],"&lt;",""),"&gt;","")</f>
        <v>E62000950</v>
      </c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</row>
    <row r="1602" spans="1:20" x14ac:dyDescent="0.25">
      <c r="A160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2" s="37" t="str">
        <f>SUBSTITUTE(SUBSTITUTE(tabSource[[#This Row],[ID]],"&lt;",""),"&gt;","")</f>
        <v>E62001050</v>
      </c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</row>
    <row r="1603" spans="1:20" x14ac:dyDescent="0.25">
      <c r="A160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3" s="37" t="str">
        <f>SUBSTITUTE(SUBSTITUTE(tabSource[[#This Row],[ID]],"&lt;",""),"&gt;","")</f>
        <v>E62001150</v>
      </c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</row>
    <row r="1604" spans="1:20" x14ac:dyDescent="0.25">
      <c r="A160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4" s="37" t="str">
        <f>SUBSTITUTE(SUBSTITUTE(tabSource[[#This Row],[ID]],"&lt;",""),"&gt;","")</f>
        <v>E62001250</v>
      </c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</row>
    <row r="1605" spans="1:20" x14ac:dyDescent="0.25">
      <c r="A160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5" s="37" t="str">
        <f>SUBSTITUTE(SUBSTITUTE(tabSource[[#This Row],[ID]],"&lt;",""),"&gt;","")</f>
        <v>E62001350</v>
      </c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</row>
    <row r="1606" spans="1:20" x14ac:dyDescent="0.25">
      <c r="A160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6" s="37" t="str">
        <f>SUBSTITUTE(SUBSTITUTE(tabSource[[#This Row],[ID]],"&lt;",""),"&gt;","")</f>
        <v>E62420850</v>
      </c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</row>
    <row r="1607" spans="1:20" x14ac:dyDescent="0.25">
      <c r="A160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7" s="37" t="str">
        <f>SUBSTITUTE(SUBSTITUTE(tabSource[[#This Row],[ID]],"&lt;",""),"&gt;","")</f>
        <v>E62420950</v>
      </c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</row>
    <row r="1608" spans="1:20" x14ac:dyDescent="0.25">
      <c r="A160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8" s="37" t="str">
        <f>SUBSTITUTE(SUBSTITUTE(tabSource[[#This Row],[ID]],"&lt;",""),"&gt;","")</f>
        <v>E62421050</v>
      </c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</row>
    <row r="1609" spans="1:20" x14ac:dyDescent="0.25">
      <c r="A160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0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09" s="37" t="str">
        <f>SUBSTITUTE(SUBSTITUTE(tabSource[[#This Row],[ID]],"&lt;",""),"&gt;","")</f>
        <v>E62421150</v>
      </c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</row>
    <row r="1610" spans="1:20" x14ac:dyDescent="0.25">
      <c r="A161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0" s="37" t="str">
        <f>SUBSTITUTE(SUBSTITUTE(tabSource[[#This Row],[ID]],"&lt;",""),"&gt;","")</f>
        <v>E62421250</v>
      </c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</row>
    <row r="1611" spans="1:20" x14ac:dyDescent="0.25">
      <c r="A161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1" s="37" t="str">
        <f>SUBSTITUTE(SUBSTITUTE(tabSource[[#This Row],[ID]],"&lt;",""),"&gt;","")</f>
        <v>E62421350</v>
      </c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</row>
    <row r="1612" spans="1:20" x14ac:dyDescent="0.25">
      <c r="A161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2" s="37" t="str">
        <f>SUBSTITUTE(SUBSTITUTE(tabSource[[#This Row],[ID]],"&lt;",""),"&gt;","")</f>
        <v>E62480850</v>
      </c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</row>
    <row r="1613" spans="1:20" x14ac:dyDescent="0.25">
      <c r="A161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3" s="37" t="str">
        <f>SUBSTITUTE(SUBSTITUTE(tabSource[[#This Row],[ID]],"&lt;",""),"&gt;","")</f>
        <v>E62480950</v>
      </c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</row>
    <row r="1614" spans="1:20" x14ac:dyDescent="0.25">
      <c r="A161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4" s="37" t="str">
        <f>SUBSTITUTE(SUBSTITUTE(tabSource[[#This Row],[ID]],"&lt;",""),"&gt;","")</f>
        <v>E62481050</v>
      </c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</row>
    <row r="1615" spans="1:20" x14ac:dyDescent="0.25">
      <c r="A161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5" s="37" t="str">
        <f>SUBSTITUTE(SUBSTITUTE(tabSource[[#This Row],[ID]],"&lt;",""),"&gt;","")</f>
        <v>E62481150</v>
      </c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</row>
    <row r="1616" spans="1:20" x14ac:dyDescent="0.25">
      <c r="A161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6" s="37" t="str">
        <f>SUBSTITUTE(SUBSTITUTE(tabSource[[#This Row],[ID]],"&lt;",""),"&gt;","")</f>
        <v>E62481250</v>
      </c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</row>
    <row r="1617" spans="1:20" x14ac:dyDescent="0.25">
      <c r="A161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7" s="37" t="str">
        <f>SUBSTITUTE(SUBSTITUTE(tabSource[[#This Row],[ID]],"&lt;",""),"&gt;","")</f>
        <v>E62481350</v>
      </c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</row>
    <row r="1618" spans="1:20" x14ac:dyDescent="0.25">
      <c r="A161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8" s="37" t="str">
        <f>SUBSTITUTE(SUBSTITUTE(tabSource[[#This Row],[ID]],"&lt;",""),"&gt;","")</f>
        <v>E6420140</v>
      </c>
      <c r="D1618"/>
      <c r="E1618"/>
      <c r="F1618"/>
      <c r="G1618"/>
      <c r="I1618"/>
      <c r="J1618"/>
      <c r="K1618"/>
      <c r="L1618"/>
      <c r="M1618"/>
      <c r="O1618"/>
      <c r="P1618"/>
      <c r="Q1618"/>
    </row>
    <row r="1619" spans="1:20" x14ac:dyDescent="0.25">
      <c r="A161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1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19" s="37" t="str">
        <f>SUBSTITUTE(SUBSTITUTE(tabSource[[#This Row],[ID]],"&lt;",""),"&gt;","")</f>
        <v>E6420150</v>
      </c>
      <c r="D1619"/>
      <c r="E1619"/>
      <c r="F1619"/>
      <c r="G1619"/>
      <c r="I1619"/>
      <c r="J1619"/>
      <c r="K1619"/>
      <c r="L1619"/>
      <c r="M1619"/>
      <c r="O1619"/>
      <c r="P1619"/>
      <c r="Q1619"/>
    </row>
    <row r="1620" spans="1:20" x14ac:dyDescent="0.25">
      <c r="A162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0" s="37" t="str">
        <f>SUBSTITUTE(SUBSTITUTE(tabSource[[#This Row],[ID]],"&lt;",""),"&gt;","")</f>
        <v>E6420240</v>
      </c>
      <c r="D1620"/>
      <c r="E1620"/>
      <c r="F1620"/>
      <c r="G1620"/>
      <c r="I1620"/>
      <c r="J1620"/>
      <c r="K1620"/>
      <c r="L1620"/>
      <c r="M1620"/>
      <c r="O1620"/>
      <c r="P1620"/>
      <c r="Q1620"/>
    </row>
    <row r="1621" spans="1:20" x14ac:dyDescent="0.25">
      <c r="A162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1" s="37" t="str">
        <f>SUBSTITUTE(SUBSTITUTE(tabSource[[#This Row],[ID]],"&lt;",""),"&gt;","")</f>
        <v>E6420250</v>
      </c>
      <c r="D1621"/>
      <c r="E1621"/>
      <c r="F1621"/>
      <c r="G1621"/>
      <c r="I1621"/>
      <c r="J1621"/>
      <c r="K1621"/>
      <c r="L1621"/>
      <c r="M1621"/>
      <c r="O1621"/>
      <c r="P1621"/>
      <c r="Q1621"/>
    </row>
    <row r="1622" spans="1:20" x14ac:dyDescent="0.25">
      <c r="A162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2" s="37" t="str">
        <f>SUBSTITUTE(SUBSTITUTE(tabSource[[#This Row],[ID]],"&lt;",""),"&gt;","")</f>
        <v>E6420340</v>
      </c>
      <c r="D1622"/>
      <c r="E1622"/>
      <c r="F1622"/>
      <c r="G1622"/>
      <c r="I1622"/>
      <c r="J1622"/>
      <c r="K1622"/>
      <c r="L1622"/>
      <c r="M1622"/>
      <c r="O1622"/>
      <c r="P1622"/>
      <c r="Q1622"/>
    </row>
    <row r="1623" spans="1:20" x14ac:dyDescent="0.25">
      <c r="A162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3" s="37" t="str">
        <f>SUBSTITUTE(SUBSTITUTE(tabSource[[#This Row],[ID]],"&lt;",""),"&gt;","")</f>
        <v>E6420350</v>
      </c>
      <c r="D1623"/>
      <c r="E1623"/>
      <c r="F1623"/>
      <c r="G1623"/>
      <c r="I1623"/>
      <c r="J1623"/>
      <c r="K1623"/>
      <c r="L1623"/>
      <c r="M1623"/>
      <c r="O1623"/>
      <c r="P1623"/>
      <c r="Q1623"/>
    </row>
    <row r="1624" spans="1:20" x14ac:dyDescent="0.25">
      <c r="A162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4" s="37" t="str">
        <f>SUBSTITUTE(SUBSTITUTE(tabSource[[#This Row],[ID]],"&lt;",""),"&gt;","")</f>
        <v>E6420800</v>
      </c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</row>
    <row r="1625" spans="1:20" x14ac:dyDescent="0.25">
      <c r="A162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5" s="37" t="str">
        <f>SUBSTITUTE(SUBSTITUTE(tabSource[[#This Row],[ID]],"&lt;",""),"&gt;","")</f>
        <v>E6420820</v>
      </c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</row>
    <row r="1626" spans="1:20" x14ac:dyDescent="0.25">
      <c r="A162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6" s="37" t="str">
        <f>SUBSTITUTE(SUBSTITUTE(tabSource[[#This Row],[ID]],"&lt;",""),"&gt;","")</f>
        <v>E6420840</v>
      </c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</row>
    <row r="1627" spans="1:20" x14ac:dyDescent="0.25">
      <c r="A162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7" s="37" t="str">
        <f>SUBSTITUTE(SUBSTITUTE(tabSource[[#This Row],[ID]],"&lt;",""),"&gt;","")</f>
        <v>E6420850</v>
      </c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</row>
    <row r="1628" spans="1:20" x14ac:dyDescent="0.25">
      <c r="A162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8" s="37" t="str">
        <f>SUBSTITUTE(SUBSTITUTE(tabSource[[#This Row],[ID]],"&lt;",""),"&gt;","")</f>
        <v>E6420851</v>
      </c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</row>
    <row r="1629" spans="1:20" x14ac:dyDescent="0.25">
      <c r="A162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2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29" s="37" t="str">
        <f>SUBSTITUTE(SUBSTITUTE(tabSource[[#This Row],[ID]],"&lt;",""),"&gt;","")</f>
        <v>E6420900</v>
      </c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</row>
    <row r="1630" spans="1:20" x14ac:dyDescent="0.25">
      <c r="A163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0" s="37" t="str">
        <f>SUBSTITUTE(SUBSTITUTE(tabSource[[#This Row],[ID]],"&lt;",""),"&gt;","")</f>
        <v>E6420920</v>
      </c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</row>
    <row r="1631" spans="1:20" x14ac:dyDescent="0.25">
      <c r="A163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1" s="37" t="str">
        <f>SUBSTITUTE(SUBSTITUTE(tabSource[[#This Row],[ID]],"&lt;",""),"&gt;","")</f>
        <v>E6420940</v>
      </c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</row>
    <row r="1632" spans="1:20" x14ac:dyDescent="0.25">
      <c r="A163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2" s="37" t="str">
        <f>SUBSTITUTE(SUBSTITUTE(tabSource[[#This Row],[ID]],"&lt;",""),"&gt;","")</f>
        <v>E6420950</v>
      </c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</row>
    <row r="1633" spans="1:20" x14ac:dyDescent="0.25">
      <c r="A163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3" s="37" t="str">
        <f>SUBSTITUTE(SUBSTITUTE(tabSource[[#This Row],[ID]],"&lt;",""),"&gt;","")</f>
        <v>E6420951</v>
      </c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</row>
    <row r="1634" spans="1:20" x14ac:dyDescent="0.25">
      <c r="A163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4" s="37" t="str">
        <f>SUBSTITUTE(SUBSTITUTE(tabSource[[#This Row],[ID]],"&lt;",""),"&gt;","")</f>
        <v>E6421000</v>
      </c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</row>
    <row r="1635" spans="1:20" x14ac:dyDescent="0.25">
      <c r="A163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5" s="37" t="str">
        <f>SUBSTITUTE(SUBSTITUTE(tabSource[[#This Row],[ID]],"&lt;",""),"&gt;","")</f>
        <v>E6421020</v>
      </c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</row>
    <row r="1636" spans="1:20" x14ac:dyDescent="0.25">
      <c r="A163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6" s="37" t="str">
        <f>SUBSTITUTE(SUBSTITUTE(tabSource[[#This Row],[ID]],"&lt;",""),"&gt;","")</f>
        <v>E6421040</v>
      </c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</row>
    <row r="1637" spans="1:20" x14ac:dyDescent="0.25">
      <c r="A163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7" s="37" t="str">
        <f>SUBSTITUTE(SUBSTITUTE(tabSource[[#This Row],[ID]],"&lt;",""),"&gt;","")</f>
        <v>E6421050</v>
      </c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</row>
    <row r="1638" spans="1:20" x14ac:dyDescent="0.25">
      <c r="A163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8" s="37" t="str">
        <f>SUBSTITUTE(SUBSTITUTE(tabSource[[#This Row],[ID]],"&lt;",""),"&gt;","")</f>
        <v>E6421051</v>
      </c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</row>
    <row r="1639" spans="1:20" x14ac:dyDescent="0.25">
      <c r="A163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3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39" s="37" t="str">
        <f>SUBSTITUTE(SUBSTITUTE(tabSource[[#This Row],[ID]],"&lt;",""),"&gt;","")</f>
        <v>E6421100</v>
      </c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</row>
    <row r="1640" spans="1:20" x14ac:dyDescent="0.25">
      <c r="A164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0" s="37" t="str">
        <f>SUBSTITUTE(SUBSTITUTE(tabSource[[#This Row],[ID]],"&lt;",""),"&gt;","")</f>
        <v>E6421120</v>
      </c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</row>
    <row r="1641" spans="1:20" x14ac:dyDescent="0.25">
      <c r="A164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1" s="37" t="str">
        <f>SUBSTITUTE(SUBSTITUTE(tabSource[[#This Row],[ID]],"&lt;",""),"&gt;","")</f>
        <v>E6421140</v>
      </c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</row>
    <row r="1642" spans="1:20" x14ac:dyDescent="0.25">
      <c r="A164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2" s="37" t="str">
        <f>SUBSTITUTE(SUBSTITUTE(tabSource[[#This Row],[ID]],"&lt;",""),"&gt;","")</f>
        <v>E6421150</v>
      </c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</row>
    <row r="1643" spans="1:20" x14ac:dyDescent="0.25">
      <c r="A164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3" s="37" t="str">
        <f>SUBSTITUTE(SUBSTITUTE(tabSource[[#This Row],[ID]],"&lt;",""),"&gt;","")</f>
        <v>E6421151</v>
      </c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</row>
    <row r="1644" spans="1:20" x14ac:dyDescent="0.25">
      <c r="A164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4" s="37" t="str">
        <f>SUBSTITUTE(SUBSTITUTE(tabSource[[#This Row],[ID]],"&lt;",""),"&gt;","")</f>
        <v>E6421200</v>
      </c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</row>
    <row r="1645" spans="1:20" x14ac:dyDescent="0.25">
      <c r="A164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5" s="37" t="str">
        <f>SUBSTITUTE(SUBSTITUTE(tabSource[[#This Row],[ID]],"&lt;",""),"&gt;","")</f>
        <v>E6421220</v>
      </c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</row>
    <row r="1646" spans="1:20" x14ac:dyDescent="0.25">
      <c r="A164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6" s="37" t="str">
        <f>SUBSTITUTE(SUBSTITUTE(tabSource[[#This Row],[ID]],"&lt;",""),"&gt;","")</f>
        <v>E6421240</v>
      </c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</row>
    <row r="1647" spans="1:20" x14ac:dyDescent="0.25">
      <c r="A164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7" s="37" t="str">
        <f>SUBSTITUTE(SUBSTITUTE(tabSource[[#This Row],[ID]],"&lt;",""),"&gt;","")</f>
        <v>E6421250</v>
      </c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</row>
    <row r="1648" spans="1:20" x14ac:dyDescent="0.25">
      <c r="A164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8" s="37" t="str">
        <f>SUBSTITUTE(SUBSTITUTE(tabSource[[#This Row],[ID]],"&lt;",""),"&gt;","")</f>
        <v>E6421251</v>
      </c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</row>
    <row r="1649" spans="1:20" x14ac:dyDescent="0.25">
      <c r="A164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4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49" s="37" t="str">
        <f>SUBSTITUTE(SUBSTITUTE(tabSource[[#This Row],[ID]],"&lt;",""),"&gt;","")</f>
        <v>E6421300</v>
      </c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</row>
    <row r="1650" spans="1:20" x14ac:dyDescent="0.25">
      <c r="A165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0" s="37" t="str">
        <f>SUBSTITUTE(SUBSTITUTE(tabSource[[#This Row],[ID]],"&lt;",""),"&gt;","")</f>
        <v>E6421320</v>
      </c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</row>
    <row r="1651" spans="1:20" x14ac:dyDescent="0.25">
      <c r="A165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1" s="37" t="str">
        <f>SUBSTITUTE(SUBSTITUTE(tabSource[[#This Row],[ID]],"&lt;",""),"&gt;","")</f>
        <v>E6421340</v>
      </c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</row>
    <row r="1652" spans="1:20" x14ac:dyDescent="0.25">
      <c r="A165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2" s="37" t="str">
        <f>SUBSTITUTE(SUBSTITUTE(tabSource[[#This Row],[ID]],"&lt;",""),"&gt;","")</f>
        <v>E6421350</v>
      </c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</row>
    <row r="1653" spans="1:20" x14ac:dyDescent="0.25">
      <c r="A165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3" s="37" t="str">
        <f>SUBSTITUTE(SUBSTITUTE(tabSource[[#This Row],[ID]],"&lt;",""),"&gt;","")</f>
        <v>E6421351</v>
      </c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</row>
    <row r="1654" spans="1:20" x14ac:dyDescent="0.25">
      <c r="A165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4" s="37" t="str">
        <f>SUBSTITUTE(SUBSTITUTE(tabSource[[#This Row],[ID]],"&lt;",""),"&gt;","")</f>
        <v>E6480800</v>
      </c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</row>
    <row r="1655" spans="1:20" x14ac:dyDescent="0.25">
      <c r="A165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5" s="37" t="str">
        <f>SUBSTITUTE(SUBSTITUTE(tabSource[[#This Row],[ID]],"&lt;",""),"&gt;","")</f>
        <v>E6480820</v>
      </c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</row>
    <row r="1656" spans="1:20" x14ac:dyDescent="0.25">
      <c r="A165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6" s="37" t="str">
        <f>SUBSTITUTE(SUBSTITUTE(tabSource[[#This Row],[ID]],"&lt;",""),"&gt;","")</f>
        <v>E6480840</v>
      </c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</row>
    <row r="1657" spans="1:20" x14ac:dyDescent="0.25">
      <c r="A165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7" s="37" t="str">
        <f>SUBSTITUTE(SUBSTITUTE(tabSource[[#This Row],[ID]],"&lt;",""),"&gt;","")</f>
        <v>E6480850</v>
      </c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</row>
    <row r="1658" spans="1:20" x14ac:dyDescent="0.25">
      <c r="A165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8" s="37" t="str">
        <f>SUBSTITUTE(SUBSTITUTE(tabSource[[#This Row],[ID]],"&lt;",""),"&gt;","")</f>
        <v>E6480851</v>
      </c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</row>
    <row r="1659" spans="1:20" x14ac:dyDescent="0.25">
      <c r="A165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5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59" s="37" t="str">
        <f>SUBSTITUTE(SUBSTITUTE(tabSource[[#This Row],[ID]],"&lt;",""),"&gt;","")</f>
        <v>E6480900</v>
      </c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</row>
    <row r="1660" spans="1:20" x14ac:dyDescent="0.25">
      <c r="A166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0" s="37" t="str">
        <f>SUBSTITUTE(SUBSTITUTE(tabSource[[#This Row],[ID]],"&lt;",""),"&gt;","")</f>
        <v>E6480920</v>
      </c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</row>
    <row r="1661" spans="1:20" x14ac:dyDescent="0.25">
      <c r="A166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1" s="37" t="str">
        <f>SUBSTITUTE(SUBSTITUTE(tabSource[[#This Row],[ID]],"&lt;",""),"&gt;","")</f>
        <v>E6480940</v>
      </c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</row>
    <row r="1662" spans="1:20" x14ac:dyDescent="0.25">
      <c r="A166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2" s="37" t="str">
        <f>SUBSTITUTE(SUBSTITUTE(tabSource[[#This Row],[ID]],"&lt;",""),"&gt;","")</f>
        <v>E6480950</v>
      </c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</row>
    <row r="1663" spans="1:20" x14ac:dyDescent="0.25">
      <c r="A166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3" s="37" t="str">
        <f>SUBSTITUTE(SUBSTITUTE(tabSource[[#This Row],[ID]],"&lt;",""),"&gt;","")</f>
        <v>E6480951</v>
      </c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</row>
    <row r="1664" spans="1:20" x14ac:dyDescent="0.25">
      <c r="A166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4" s="37" t="str">
        <f>SUBSTITUTE(SUBSTITUTE(tabSource[[#This Row],[ID]],"&lt;",""),"&gt;","")</f>
        <v>E6481000</v>
      </c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</row>
    <row r="1665" spans="1:20" x14ac:dyDescent="0.25">
      <c r="A166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5" s="37" t="str">
        <f>SUBSTITUTE(SUBSTITUTE(tabSource[[#This Row],[ID]],"&lt;",""),"&gt;","")</f>
        <v>E6481020</v>
      </c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</row>
    <row r="1666" spans="1:20" x14ac:dyDescent="0.25">
      <c r="A166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6" s="37" t="str">
        <f>SUBSTITUTE(SUBSTITUTE(tabSource[[#This Row],[ID]],"&lt;",""),"&gt;","")</f>
        <v>E6481040</v>
      </c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</row>
    <row r="1667" spans="1:20" x14ac:dyDescent="0.25">
      <c r="A166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7" s="37" t="str">
        <f>SUBSTITUTE(SUBSTITUTE(tabSource[[#This Row],[ID]],"&lt;",""),"&gt;","")</f>
        <v>E6481050</v>
      </c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</row>
    <row r="1668" spans="1:20" x14ac:dyDescent="0.25">
      <c r="A166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8" s="37" t="str">
        <f>SUBSTITUTE(SUBSTITUTE(tabSource[[#This Row],[ID]],"&lt;",""),"&gt;","")</f>
        <v>E6481051</v>
      </c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</row>
    <row r="1669" spans="1:20" x14ac:dyDescent="0.25">
      <c r="A166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6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69" s="37" t="str">
        <f>SUBSTITUTE(SUBSTITUTE(tabSource[[#This Row],[ID]],"&lt;",""),"&gt;","")</f>
        <v>E6481100</v>
      </c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</row>
    <row r="1670" spans="1:20" x14ac:dyDescent="0.25">
      <c r="A167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0" s="37" t="str">
        <f>SUBSTITUTE(SUBSTITUTE(tabSource[[#This Row],[ID]],"&lt;",""),"&gt;","")</f>
        <v>E6481120</v>
      </c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</row>
    <row r="1671" spans="1:20" x14ac:dyDescent="0.25">
      <c r="A167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1" s="37" t="str">
        <f>SUBSTITUTE(SUBSTITUTE(tabSource[[#This Row],[ID]],"&lt;",""),"&gt;","")</f>
        <v>E6481140</v>
      </c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</row>
    <row r="1672" spans="1:20" x14ac:dyDescent="0.25">
      <c r="A167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2" s="37" t="str">
        <f>SUBSTITUTE(SUBSTITUTE(tabSource[[#This Row],[ID]],"&lt;",""),"&gt;","")</f>
        <v>E6481150</v>
      </c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</row>
    <row r="1673" spans="1:20" x14ac:dyDescent="0.25">
      <c r="A167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3" s="37" t="str">
        <f>SUBSTITUTE(SUBSTITUTE(tabSource[[#This Row],[ID]],"&lt;",""),"&gt;","")</f>
        <v>E6481151</v>
      </c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</row>
    <row r="1674" spans="1:20" x14ac:dyDescent="0.25">
      <c r="A167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4" s="37" t="str">
        <f>SUBSTITUTE(SUBSTITUTE(tabSource[[#This Row],[ID]],"&lt;",""),"&gt;","")</f>
        <v>E6481200</v>
      </c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</row>
    <row r="1675" spans="1:20" x14ac:dyDescent="0.25">
      <c r="A167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5" s="37" t="str">
        <f>SUBSTITUTE(SUBSTITUTE(tabSource[[#This Row],[ID]],"&lt;",""),"&gt;","")</f>
        <v>E6481220</v>
      </c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</row>
    <row r="1676" spans="1:20" x14ac:dyDescent="0.25">
      <c r="A167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6" s="37" t="str">
        <f>SUBSTITUTE(SUBSTITUTE(tabSource[[#This Row],[ID]],"&lt;",""),"&gt;","")</f>
        <v>E6481240</v>
      </c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</row>
    <row r="1677" spans="1:20" x14ac:dyDescent="0.25">
      <c r="A167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7" s="37" t="str">
        <f>SUBSTITUTE(SUBSTITUTE(tabSource[[#This Row],[ID]],"&lt;",""),"&gt;","")</f>
        <v>E6481250</v>
      </c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</row>
    <row r="1678" spans="1:20" x14ac:dyDescent="0.25">
      <c r="A167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8" s="37" t="str">
        <f>SUBSTITUTE(SUBSTITUTE(tabSource[[#This Row],[ID]],"&lt;",""),"&gt;","")</f>
        <v>E6481251</v>
      </c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</row>
    <row r="1679" spans="1:20" x14ac:dyDescent="0.25">
      <c r="A167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7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79" s="37" t="str">
        <f>SUBSTITUTE(SUBSTITUTE(tabSource[[#This Row],[ID]],"&lt;",""),"&gt;","")</f>
        <v>E6481300</v>
      </c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</row>
    <row r="1680" spans="1:20" x14ac:dyDescent="0.25">
      <c r="A168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0" s="37" t="str">
        <f>SUBSTITUTE(SUBSTITUTE(tabSource[[#This Row],[ID]],"&lt;",""),"&gt;","")</f>
        <v>E6481320</v>
      </c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</row>
    <row r="1681" spans="1:20" x14ac:dyDescent="0.25">
      <c r="A168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1" s="37" t="str">
        <f>SUBSTITUTE(SUBSTITUTE(tabSource[[#This Row],[ID]],"&lt;",""),"&gt;","")</f>
        <v>E6481340</v>
      </c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</row>
    <row r="1682" spans="1:20" x14ac:dyDescent="0.25">
      <c r="A168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2" s="37" t="str">
        <f>SUBSTITUTE(SUBSTITUTE(tabSource[[#This Row],[ID]],"&lt;",""),"&gt;","")</f>
        <v>E6481350</v>
      </c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</row>
    <row r="1683" spans="1:20" x14ac:dyDescent="0.25">
      <c r="A168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3" s="37" t="str">
        <f>SUBSTITUTE(SUBSTITUTE(tabSource[[#This Row],[ID]],"&lt;",""),"&gt;","")</f>
        <v>E6481351</v>
      </c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</row>
    <row r="1684" spans="1:20" x14ac:dyDescent="0.25">
      <c r="A168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4" s="37" t="str">
        <f>SUBSTITUTE(SUBSTITUTE(tabSource[[#This Row],[ID]],"&lt;",""),"&gt;","")</f>
        <v>E7000600</v>
      </c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</row>
    <row r="1685" spans="1:20" x14ac:dyDescent="0.25">
      <c r="A168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5" s="37" t="str">
        <f>SUBSTITUTE(SUBSTITUTE(tabSource[[#This Row],[ID]],"&lt;",""),"&gt;","")</f>
        <v>E7000620</v>
      </c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</row>
    <row r="1686" spans="1:20" x14ac:dyDescent="0.25">
      <c r="A168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6" s="37" t="str">
        <f>SUBSTITUTE(SUBSTITUTE(tabSource[[#This Row],[ID]],"&lt;",""),"&gt;","")</f>
        <v>E7000640</v>
      </c>
      <c r="D1686"/>
      <c r="E1686"/>
      <c r="F1686"/>
      <c r="G1686"/>
      <c r="I1686"/>
      <c r="J1686"/>
      <c r="K1686"/>
      <c r="L1686"/>
      <c r="M1686"/>
      <c r="O1686"/>
      <c r="P1686"/>
      <c r="Q1686"/>
    </row>
    <row r="1687" spans="1:20" x14ac:dyDescent="0.25">
      <c r="A168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7" s="37" t="str">
        <f>SUBSTITUTE(SUBSTITUTE(tabSource[[#This Row],[ID]],"&lt;",""),"&gt;","")</f>
        <v>E7000650</v>
      </c>
      <c r="D1687"/>
      <c r="E1687"/>
      <c r="F1687"/>
      <c r="G1687"/>
      <c r="I1687"/>
      <c r="J1687"/>
      <c r="K1687"/>
      <c r="L1687"/>
      <c r="M1687"/>
      <c r="O1687"/>
      <c r="P1687"/>
      <c r="Q1687"/>
    </row>
    <row r="1688" spans="1:20" x14ac:dyDescent="0.25">
      <c r="A168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8" s="37" t="str">
        <f>SUBSTITUTE(SUBSTITUTE(tabSource[[#This Row],[ID]],"&lt;",""),"&gt;","")</f>
        <v>E7000700</v>
      </c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</row>
    <row r="1689" spans="1:20" x14ac:dyDescent="0.25">
      <c r="A168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8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89" s="37" t="str">
        <f>SUBSTITUTE(SUBSTITUTE(tabSource[[#This Row],[ID]],"&lt;",""),"&gt;","")</f>
        <v>E7000720</v>
      </c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</row>
    <row r="1690" spans="1:20" x14ac:dyDescent="0.25">
      <c r="A169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0" s="37" t="str">
        <f>SUBSTITUTE(SUBSTITUTE(tabSource[[#This Row],[ID]],"&lt;",""),"&gt;","")</f>
        <v>E7000740</v>
      </c>
      <c r="D1690"/>
      <c r="E1690"/>
      <c r="F1690"/>
      <c r="G1690"/>
      <c r="I1690"/>
      <c r="J1690"/>
      <c r="K1690"/>
      <c r="L1690"/>
      <c r="M1690"/>
      <c r="O1690"/>
      <c r="P1690"/>
      <c r="Q1690"/>
    </row>
    <row r="1691" spans="1:20" x14ac:dyDescent="0.25">
      <c r="A169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1" s="37" t="str">
        <f>SUBSTITUTE(SUBSTITUTE(tabSource[[#This Row],[ID]],"&lt;",""),"&gt;","")</f>
        <v>E7000750</v>
      </c>
      <c r="D1691"/>
      <c r="E1691"/>
      <c r="F1691"/>
      <c r="G1691"/>
      <c r="I1691"/>
      <c r="J1691"/>
      <c r="K1691"/>
      <c r="L1691"/>
      <c r="M1691"/>
      <c r="O1691"/>
      <c r="P1691"/>
      <c r="Q1691"/>
    </row>
    <row r="1692" spans="1:20" x14ac:dyDescent="0.25">
      <c r="A169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2" s="37" t="str">
        <f>SUBSTITUTE(SUBSTITUTE(tabSource[[#This Row],[ID]],"&lt;",""),"&gt;","")</f>
        <v>E7000800</v>
      </c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</row>
    <row r="1693" spans="1:20" x14ac:dyDescent="0.25">
      <c r="A169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3" s="37" t="str">
        <f>SUBSTITUTE(SUBSTITUTE(tabSource[[#This Row],[ID]],"&lt;",""),"&gt;","")</f>
        <v>E7000820</v>
      </c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</row>
    <row r="1694" spans="1:20" x14ac:dyDescent="0.25">
      <c r="A169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4" s="37" t="str">
        <f>SUBSTITUTE(SUBSTITUTE(tabSource[[#This Row],[ID]],"&lt;",""),"&gt;","")</f>
        <v>E7000840</v>
      </c>
      <c r="D1694"/>
      <c r="E1694"/>
      <c r="F1694"/>
      <c r="G1694"/>
      <c r="I1694"/>
      <c r="J1694"/>
      <c r="K1694"/>
      <c r="L1694"/>
      <c r="M1694"/>
      <c r="O1694"/>
      <c r="P1694"/>
      <c r="Q1694"/>
    </row>
    <row r="1695" spans="1:20" x14ac:dyDescent="0.25">
      <c r="A169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5" s="37" t="str">
        <f>SUBSTITUTE(SUBSTITUTE(tabSource[[#This Row],[ID]],"&lt;",""),"&gt;","")</f>
        <v>E7000850</v>
      </c>
      <c r="D1695"/>
      <c r="E1695"/>
      <c r="F1695"/>
      <c r="G1695"/>
      <c r="I1695"/>
      <c r="J1695"/>
      <c r="K1695"/>
      <c r="L1695"/>
      <c r="M1695"/>
      <c r="O1695"/>
      <c r="P1695"/>
      <c r="Q1695"/>
    </row>
    <row r="1696" spans="1:20" x14ac:dyDescent="0.25">
      <c r="A169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6" s="37" t="str">
        <f>SUBSTITUTE(SUBSTITUTE(tabSource[[#This Row],[ID]],"&lt;",""),"&gt;","")</f>
        <v>E7000900</v>
      </c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</row>
    <row r="1697" spans="1:20" x14ac:dyDescent="0.25">
      <c r="A169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7" s="37" t="str">
        <f>SUBSTITUTE(SUBSTITUTE(tabSource[[#This Row],[ID]],"&lt;",""),"&gt;","")</f>
        <v>E7000920</v>
      </c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</row>
    <row r="1698" spans="1:20" x14ac:dyDescent="0.25">
      <c r="A169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8" s="37" t="str">
        <f>SUBSTITUTE(SUBSTITUTE(tabSource[[#This Row],[ID]],"&lt;",""),"&gt;","")</f>
        <v>E7000940</v>
      </c>
      <c r="D1698"/>
      <c r="E1698"/>
      <c r="F1698"/>
      <c r="G1698"/>
      <c r="I1698"/>
      <c r="J1698"/>
      <c r="K1698"/>
      <c r="L1698"/>
      <c r="M1698"/>
      <c r="O1698"/>
      <c r="P1698"/>
      <c r="Q1698"/>
    </row>
    <row r="1699" spans="1:20" x14ac:dyDescent="0.25">
      <c r="A169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69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699" s="37" t="str">
        <f>SUBSTITUTE(SUBSTITUTE(tabSource[[#This Row],[ID]],"&lt;",""),"&gt;","")</f>
        <v>E7000950</v>
      </c>
      <c r="D1699"/>
      <c r="E1699"/>
      <c r="F1699"/>
      <c r="G1699"/>
      <c r="I1699"/>
      <c r="J1699"/>
      <c r="K1699"/>
      <c r="L1699"/>
      <c r="M1699"/>
      <c r="O1699"/>
      <c r="P1699"/>
      <c r="Q1699"/>
    </row>
    <row r="1700" spans="1:20" x14ac:dyDescent="0.25">
      <c r="A170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0" s="37" t="str">
        <f>SUBSTITUTE(SUBSTITUTE(tabSource[[#This Row],[ID]],"&lt;",""),"&gt;","")</f>
        <v>E7001000</v>
      </c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</row>
    <row r="1701" spans="1:20" x14ac:dyDescent="0.25">
      <c r="A170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1" s="37" t="str">
        <f>SUBSTITUTE(SUBSTITUTE(tabSource[[#This Row],[ID]],"&lt;",""),"&gt;","")</f>
        <v>E7001020</v>
      </c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</row>
    <row r="1702" spans="1:20" x14ac:dyDescent="0.25">
      <c r="A170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2" s="37" t="str">
        <f>SUBSTITUTE(SUBSTITUTE(tabSource[[#This Row],[ID]],"&lt;",""),"&gt;","")</f>
        <v>E7001040</v>
      </c>
      <c r="D1702"/>
      <c r="E1702"/>
      <c r="F1702"/>
      <c r="G1702"/>
      <c r="I1702"/>
      <c r="J1702"/>
      <c r="K1702"/>
      <c r="L1702"/>
      <c r="M1702"/>
      <c r="O1702"/>
      <c r="P1702"/>
      <c r="Q1702"/>
    </row>
    <row r="1703" spans="1:20" x14ac:dyDescent="0.25">
      <c r="A170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3" s="37" t="str">
        <f>SUBSTITUTE(SUBSTITUTE(tabSource[[#This Row],[ID]],"&lt;",""),"&gt;","")</f>
        <v>E7001050</v>
      </c>
      <c r="D1703"/>
      <c r="E1703"/>
      <c r="F1703"/>
      <c r="G1703"/>
      <c r="I1703"/>
      <c r="J1703"/>
      <c r="K1703"/>
      <c r="L1703"/>
      <c r="M1703"/>
      <c r="O1703"/>
      <c r="P1703"/>
      <c r="Q1703"/>
    </row>
    <row r="1704" spans="1:20" x14ac:dyDescent="0.25">
      <c r="A170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4" s="37" t="str">
        <f>SUBSTITUTE(SUBSTITUTE(tabSource[[#This Row],[ID]],"&lt;",""),"&gt;","")</f>
        <v>E7100650</v>
      </c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</row>
    <row r="1705" spans="1:20" x14ac:dyDescent="0.25">
      <c r="A170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5" s="37" t="str">
        <f>SUBSTITUTE(SUBSTITUTE(tabSource[[#This Row],[ID]],"&lt;",""),"&gt;","")</f>
        <v>E7100750</v>
      </c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</row>
    <row r="1706" spans="1:20" x14ac:dyDescent="0.25">
      <c r="A170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6" s="37" t="str">
        <f>SUBSTITUTE(SUBSTITUTE(tabSource[[#This Row],[ID]],"&lt;",""),"&gt;","")</f>
        <v>E7100850</v>
      </c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</row>
    <row r="1707" spans="1:20" x14ac:dyDescent="0.25">
      <c r="A170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7" s="37" t="str">
        <f>SUBSTITUTE(SUBSTITUTE(tabSource[[#This Row],[ID]],"&lt;",""),"&gt;","")</f>
        <v>E7100950</v>
      </c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</row>
    <row r="1708" spans="1:20" x14ac:dyDescent="0.25">
      <c r="A170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8" s="37" t="str">
        <f>SUBSTITUTE(SUBSTITUTE(tabSource[[#This Row],[ID]],"&lt;",""),"&gt;","")</f>
        <v>E7101050</v>
      </c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</row>
    <row r="1709" spans="1:20" x14ac:dyDescent="0.25">
      <c r="A170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0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09" s="37" t="str">
        <f>SUBSTITUTE(SUBSTITUTE(tabSource[[#This Row],[ID]],"&lt;",""),"&gt;","")</f>
        <v>E7110650</v>
      </c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</row>
    <row r="1710" spans="1:20" x14ac:dyDescent="0.25">
      <c r="A171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0" s="37" t="str">
        <f>SUBSTITUTE(SUBSTITUTE(tabSource[[#This Row],[ID]],"&lt;",""),"&gt;","")</f>
        <v>E7110750</v>
      </c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</row>
    <row r="1711" spans="1:20" x14ac:dyDescent="0.25">
      <c r="A171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1" s="37" t="str">
        <f>SUBSTITUTE(SUBSTITUTE(tabSource[[#This Row],[ID]],"&lt;",""),"&gt;","")</f>
        <v>E7110850</v>
      </c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</row>
    <row r="1712" spans="1:20" x14ac:dyDescent="0.25">
      <c r="A171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2" s="37" t="str">
        <f>SUBSTITUTE(SUBSTITUTE(tabSource[[#This Row],[ID]],"&lt;",""),"&gt;","")</f>
        <v>E7110950</v>
      </c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</row>
    <row r="1713" spans="1:20" x14ac:dyDescent="0.25">
      <c r="A171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3" s="37" t="str">
        <f>SUBSTITUTE(SUBSTITUTE(tabSource[[#This Row],[ID]],"&lt;",""),"&gt;","")</f>
        <v>E7111050</v>
      </c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</row>
    <row r="1714" spans="1:20" x14ac:dyDescent="0.25">
      <c r="A171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4" s="37" t="str">
        <f>SUBSTITUTE(SUBSTITUTE(tabSource[[#This Row],[ID]],"&lt;",""),"&gt;","")</f>
        <v>E7200650</v>
      </c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</row>
    <row r="1715" spans="1:20" x14ac:dyDescent="0.25">
      <c r="A171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5" s="37" t="str">
        <f>SUBSTITUTE(SUBSTITUTE(tabSource[[#This Row],[ID]],"&lt;",""),"&gt;","")</f>
        <v>E7200750</v>
      </c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</row>
    <row r="1716" spans="1:20" x14ac:dyDescent="0.25">
      <c r="A171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6" s="37" t="str">
        <f>SUBSTITUTE(SUBSTITUTE(tabSource[[#This Row],[ID]],"&lt;",""),"&gt;","")</f>
        <v>E7200850</v>
      </c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</row>
    <row r="1717" spans="1:20" x14ac:dyDescent="0.25">
      <c r="A171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7" s="37" t="str">
        <f>SUBSTITUTE(SUBSTITUTE(tabSource[[#This Row],[ID]],"&lt;",""),"&gt;","")</f>
        <v>E7200950</v>
      </c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</row>
    <row r="1718" spans="1:20" x14ac:dyDescent="0.25">
      <c r="A171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8" s="37" t="str">
        <f>SUBSTITUTE(SUBSTITUTE(tabSource[[#This Row],[ID]],"&lt;",""),"&gt;","")</f>
        <v>E7201050</v>
      </c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</row>
    <row r="1719" spans="1:20" x14ac:dyDescent="0.25">
      <c r="A171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1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19" s="37" t="str">
        <f>SUBSTITUTE(SUBSTITUTE(tabSource[[#This Row],[ID]],"&lt;",""),"&gt;","")</f>
        <v>E7210650</v>
      </c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</row>
    <row r="1720" spans="1:20" x14ac:dyDescent="0.25">
      <c r="A172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0" s="37" t="str">
        <f>SUBSTITUTE(SUBSTITUTE(tabSource[[#This Row],[ID]],"&lt;",""),"&gt;","")</f>
        <v>E7210750</v>
      </c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</row>
    <row r="1721" spans="1:20" x14ac:dyDescent="0.25">
      <c r="A172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1" s="37" t="str">
        <f>SUBSTITUTE(SUBSTITUTE(tabSource[[#This Row],[ID]],"&lt;",""),"&gt;","")</f>
        <v>E7210850</v>
      </c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</row>
    <row r="1722" spans="1:20" x14ac:dyDescent="0.25">
      <c r="A172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2" s="37" t="str">
        <f>SUBSTITUTE(SUBSTITUTE(tabSource[[#This Row],[ID]],"&lt;",""),"&gt;","")</f>
        <v>E7210950</v>
      </c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</row>
    <row r="1723" spans="1:20" x14ac:dyDescent="0.25">
      <c r="A172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3" s="37" t="str">
        <f>SUBSTITUTE(SUBSTITUTE(tabSource[[#This Row],[ID]],"&lt;",""),"&gt;","")</f>
        <v>E7211050</v>
      </c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</row>
    <row r="1724" spans="1:20" x14ac:dyDescent="0.25">
      <c r="A172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4" s="37" t="str">
        <f>SUBSTITUTE(SUBSTITUTE(tabSource[[#This Row],[ID]],"&lt;",""),"&gt;","")</f>
        <v>E7330600</v>
      </c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</row>
    <row r="1725" spans="1:20" x14ac:dyDescent="0.25">
      <c r="A172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5" s="37" t="str">
        <f>SUBSTITUTE(SUBSTITUTE(tabSource[[#This Row],[ID]],"&lt;",""),"&gt;","")</f>
        <v>E7330620</v>
      </c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</row>
    <row r="1726" spans="1:20" x14ac:dyDescent="0.25">
      <c r="A172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6" s="37" t="str">
        <f>SUBSTITUTE(SUBSTITUTE(tabSource[[#This Row],[ID]],"&lt;",""),"&gt;","")</f>
        <v>E7330640</v>
      </c>
      <c r="D1726"/>
      <c r="E1726"/>
      <c r="F1726"/>
      <c r="G1726"/>
      <c r="I1726"/>
      <c r="J1726"/>
      <c r="K1726"/>
      <c r="L1726"/>
      <c r="M1726"/>
      <c r="O1726"/>
      <c r="P1726"/>
      <c r="Q1726"/>
    </row>
    <row r="1727" spans="1:20" x14ac:dyDescent="0.25">
      <c r="A172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7" s="37" t="str">
        <f>SUBSTITUTE(SUBSTITUTE(tabSource[[#This Row],[ID]],"&lt;",""),"&gt;","")</f>
        <v>E7330650</v>
      </c>
      <c r="D1727"/>
      <c r="E1727"/>
      <c r="F1727"/>
      <c r="G1727"/>
      <c r="I1727"/>
      <c r="J1727"/>
      <c r="K1727"/>
      <c r="L1727"/>
      <c r="M1727"/>
      <c r="O1727"/>
      <c r="P1727"/>
      <c r="Q1727"/>
    </row>
    <row r="1728" spans="1:20" x14ac:dyDescent="0.25">
      <c r="A172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8" s="37" t="str">
        <f>SUBSTITUTE(SUBSTITUTE(tabSource[[#This Row],[ID]],"&lt;",""),"&gt;","")</f>
        <v>E7330700</v>
      </c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</row>
    <row r="1729" spans="1:20" x14ac:dyDescent="0.25">
      <c r="A172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2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29" s="37" t="str">
        <f>SUBSTITUTE(SUBSTITUTE(tabSource[[#This Row],[ID]],"&lt;",""),"&gt;","")</f>
        <v>E7330720</v>
      </c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</row>
    <row r="1730" spans="1:20" x14ac:dyDescent="0.25">
      <c r="A173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0" s="37" t="str">
        <f>SUBSTITUTE(SUBSTITUTE(tabSource[[#This Row],[ID]],"&lt;",""),"&gt;","")</f>
        <v>E7330740</v>
      </c>
      <c r="D1730"/>
      <c r="E1730"/>
      <c r="F1730"/>
      <c r="G1730"/>
      <c r="I1730"/>
      <c r="J1730"/>
      <c r="K1730"/>
      <c r="L1730"/>
      <c r="M1730"/>
      <c r="O1730"/>
      <c r="P1730"/>
      <c r="Q1730"/>
    </row>
    <row r="1731" spans="1:20" x14ac:dyDescent="0.25">
      <c r="A173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1" s="37" t="str">
        <f>SUBSTITUTE(SUBSTITUTE(tabSource[[#This Row],[ID]],"&lt;",""),"&gt;","")</f>
        <v>E7330750</v>
      </c>
      <c r="D1731"/>
      <c r="E1731"/>
      <c r="F1731"/>
      <c r="G1731"/>
      <c r="I1731"/>
      <c r="J1731"/>
      <c r="K1731"/>
      <c r="L1731"/>
      <c r="M1731"/>
      <c r="O1731"/>
      <c r="P1731"/>
      <c r="Q1731"/>
    </row>
    <row r="1732" spans="1:20" x14ac:dyDescent="0.25">
      <c r="A173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2" s="37" t="str">
        <f>SUBSTITUTE(SUBSTITUTE(tabSource[[#This Row],[ID]],"&lt;",""),"&gt;","")</f>
        <v>E7330800</v>
      </c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</row>
    <row r="1733" spans="1:20" x14ac:dyDescent="0.25">
      <c r="A173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3" s="37" t="str">
        <f>SUBSTITUTE(SUBSTITUTE(tabSource[[#This Row],[ID]],"&lt;",""),"&gt;","")</f>
        <v>E7330820</v>
      </c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</row>
    <row r="1734" spans="1:20" x14ac:dyDescent="0.25">
      <c r="A173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4" s="37" t="str">
        <f>SUBSTITUTE(SUBSTITUTE(tabSource[[#This Row],[ID]],"&lt;",""),"&gt;","")</f>
        <v>E7330840</v>
      </c>
      <c r="D1734"/>
      <c r="E1734"/>
      <c r="F1734"/>
      <c r="G1734"/>
      <c r="I1734"/>
      <c r="J1734"/>
      <c r="K1734"/>
      <c r="L1734"/>
      <c r="M1734"/>
      <c r="O1734"/>
      <c r="P1734"/>
      <c r="Q1734"/>
    </row>
    <row r="1735" spans="1:20" x14ac:dyDescent="0.25">
      <c r="A173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5" s="37" t="str">
        <f>SUBSTITUTE(SUBSTITUTE(tabSource[[#This Row],[ID]],"&lt;",""),"&gt;","")</f>
        <v>E7330850</v>
      </c>
      <c r="D1735"/>
      <c r="E1735"/>
      <c r="F1735"/>
      <c r="G1735"/>
      <c r="I1735"/>
      <c r="J1735"/>
      <c r="K1735"/>
      <c r="L1735"/>
      <c r="M1735"/>
      <c r="O1735"/>
      <c r="P1735"/>
      <c r="Q1735"/>
    </row>
    <row r="1736" spans="1:20" x14ac:dyDescent="0.25">
      <c r="A173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6" s="37" t="str">
        <f>SUBSTITUTE(SUBSTITUTE(tabSource[[#This Row],[ID]],"&lt;",""),"&gt;","")</f>
        <v>E7330900</v>
      </c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</row>
    <row r="1737" spans="1:20" x14ac:dyDescent="0.25">
      <c r="A173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7" s="37" t="str">
        <f>SUBSTITUTE(SUBSTITUTE(tabSource[[#This Row],[ID]],"&lt;",""),"&gt;","")</f>
        <v>E7330920</v>
      </c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</row>
    <row r="1738" spans="1:20" x14ac:dyDescent="0.25">
      <c r="A173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8" s="37" t="str">
        <f>SUBSTITUTE(SUBSTITUTE(tabSource[[#This Row],[ID]],"&lt;",""),"&gt;","")</f>
        <v>E7330940</v>
      </c>
      <c r="D1738"/>
      <c r="E1738"/>
      <c r="F1738"/>
      <c r="G1738"/>
      <c r="I1738"/>
      <c r="J1738"/>
      <c r="K1738"/>
      <c r="L1738"/>
      <c r="M1738"/>
      <c r="O1738"/>
      <c r="P1738"/>
      <c r="Q1738"/>
    </row>
    <row r="1739" spans="1:20" x14ac:dyDescent="0.25">
      <c r="A173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3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39" s="37" t="str">
        <f>SUBSTITUTE(SUBSTITUTE(tabSource[[#This Row],[ID]],"&lt;",""),"&gt;","")</f>
        <v>E7330950</v>
      </c>
      <c r="D1739"/>
      <c r="E1739"/>
      <c r="F1739"/>
      <c r="G1739"/>
      <c r="I1739"/>
      <c r="J1739"/>
      <c r="K1739"/>
      <c r="L1739"/>
      <c r="M1739"/>
      <c r="O1739"/>
      <c r="P1739"/>
      <c r="Q1739"/>
    </row>
    <row r="1740" spans="1:20" x14ac:dyDescent="0.25">
      <c r="A174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0" s="37" t="str">
        <f>SUBSTITUTE(SUBSTITUTE(tabSource[[#This Row],[ID]],"&lt;",""),"&gt;","")</f>
        <v>E7331000</v>
      </c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</row>
    <row r="1741" spans="1:20" x14ac:dyDescent="0.25">
      <c r="A174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1" s="37" t="str">
        <f>SUBSTITUTE(SUBSTITUTE(tabSource[[#This Row],[ID]],"&lt;",""),"&gt;","")</f>
        <v>E7331020</v>
      </c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</row>
    <row r="1742" spans="1:20" x14ac:dyDescent="0.25">
      <c r="A174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2" s="37" t="str">
        <f>SUBSTITUTE(SUBSTITUTE(tabSource[[#This Row],[ID]],"&lt;",""),"&gt;","")</f>
        <v>E7331040</v>
      </c>
      <c r="D1742"/>
      <c r="E1742"/>
      <c r="F1742"/>
      <c r="G1742"/>
      <c r="I1742"/>
      <c r="J1742"/>
      <c r="K1742"/>
      <c r="L1742"/>
      <c r="M1742"/>
      <c r="O1742"/>
      <c r="P1742"/>
      <c r="Q1742"/>
    </row>
    <row r="1743" spans="1:20" x14ac:dyDescent="0.25">
      <c r="A174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3" s="37" t="str">
        <f>SUBSTITUTE(SUBSTITUTE(tabSource[[#This Row],[ID]],"&lt;",""),"&gt;","")</f>
        <v>E7331050</v>
      </c>
      <c r="D1743"/>
      <c r="E1743"/>
      <c r="F1743"/>
      <c r="G1743"/>
      <c r="I1743"/>
      <c r="J1743"/>
      <c r="K1743"/>
      <c r="L1743"/>
      <c r="M1743"/>
      <c r="O1743"/>
      <c r="P1743"/>
      <c r="Q1743"/>
    </row>
    <row r="1744" spans="1:20" x14ac:dyDescent="0.25">
      <c r="A174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4" s="37" t="str">
        <f>SUBSTITUTE(SUBSTITUTE(tabSource[[#This Row],[ID]],"&lt;",""),"&gt;","")</f>
        <v>E7420600</v>
      </c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</row>
    <row r="1745" spans="1:20" x14ac:dyDescent="0.25">
      <c r="A174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5" s="37" t="str">
        <f>SUBSTITUTE(SUBSTITUTE(tabSource[[#This Row],[ID]],"&lt;",""),"&gt;","")</f>
        <v>E7420620</v>
      </c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</row>
    <row r="1746" spans="1:20" x14ac:dyDescent="0.25">
      <c r="A174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6" s="37" t="str">
        <f>SUBSTITUTE(SUBSTITUTE(tabSource[[#This Row],[ID]],"&lt;",""),"&gt;","")</f>
        <v>E7420640</v>
      </c>
      <c r="D1746"/>
      <c r="E1746"/>
      <c r="F1746"/>
      <c r="G1746"/>
      <c r="I1746"/>
      <c r="J1746"/>
      <c r="K1746"/>
      <c r="L1746"/>
      <c r="M1746"/>
      <c r="O1746"/>
      <c r="P1746"/>
      <c r="Q1746"/>
    </row>
    <row r="1747" spans="1:20" x14ac:dyDescent="0.25">
      <c r="A174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7" s="37" t="str">
        <f>SUBSTITUTE(SUBSTITUTE(tabSource[[#This Row],[ID]],"&lt;",""),"&gt;","")</f>
        <v>E7420650</v>
      </c>
      <c r="D1747"/>
      <c r="E1747"/>
      <c r="F1747"/>
      <c r="G1747"/>
      <c r="I1747"/>
      <c r="J1747"/>
      <c r="K1747"/>
      <c r="L1747"/>
      <c r="M1747"/>
      <c r="O1747"/>
      <c r="P1747"/>
      <c r="Q1747"/>
    </row>
    <row r="1748" spans="1:20" x14ac:dyDescent="0.25">
      <c r="A174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8" s="37" t="str">
        <f>SUBSTITUTE(SUBSTITUTE(tabSource[[#This Row],[ID]],"&lt;",""),"&gt;","")</f>
        <v>E7420700</v>
      </c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</row>
    <row r="1749" spans="1:20" x14ac:dyDescent="0.25">
      <c r="A174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4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49" s="37" t="str">
        <f>SUBSTITUTE(SUBSTITUTE(tabSource[[#This Row],[ID]],"&lt;",""),"&gt;","")</f>
        <v>E7420720</v>
      </c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</row>
    <row r="1750" spans="1:20" x14ac:dyDescent="0.25">
      <c r="A175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0" s="37" t="str">
        <f>SUBSTITUTE(SUBSTITUTE(tabSource[[#This Row],[ID]],"&lt;",""),"&gt;","")</f>
        <v>E7420740</v>
      </c>
      <c r="D1750"/>
      <c r="E1750"/>
      <c r="F1750"/>
      <c r="G1750"/>
      <c r="I1750"/>
      <c r="J1750"/>
      <c r="K1750"/>
      <c r="L1750"/>
      <c r="M1750"/>
      <c r="O1750"/>
      <c r="P1750"/>
      <c r="Q1750"/>
    </row>
    <row r="1751" spans="1:20" x14ac:dyDescent="0.25">
      <c r="A175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1" s="37" t="str">
        <f>SUBSTITUTE(SUBSTITUTE(tabSource[[#This Row],[ID]],"&lt;",""),"&gt;","")</f>
        <v>E7420750</v>
      </c>
      <c r="D1751"/>
      <c r="E1751"/>
      <c r="F1751"/>
      <c r="G1751"/>
      <c r="I1751"/>
      <c r="J1751"/>
      <c r="K1751"/>
      <c r="L1751"/>
      <c r="M1751"/>
      <c r="O1751"/>
      <c r="P1751"/>
      <c r="Q1751"/>
    </row>
    <row r="1752" spans="1:20" x14ac:dyDescent="0.25">
      <c r="A175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2" s="37" t="str">
        <f>SUBSTITUTE(SUBSTITUTE(tabSource[[#This Row],[ID]],"&lt;",""),"&gt;","")</f>
        <v>E7420800</v>
      </c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</row>
    <row r="1753" spans="1:20" x14ac:dyDescent="0.25">
      <c r="A175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3" s="37" t="str">
        <f>SUBSTITUTE(SUBSTITUTE(tabSource[[#This Row],[ID]],"&lt;",""),"&gt;","")</f>
        <v>E7420820</v>
      </c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</row>
    <row r="1754" spans="1:20" x14ac:dyDescent="0.25">
      <c r="A175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4" s="37" t="str">
        <f>SUBSTITUTE(SUBSTITUTE(tabSource[[#This Row],[ID]],"&lt;",""),"&gt;","")</f>
        <v>E7420840</v>
      </c>
      <c r="D1754"/>
      <c r="E1754"/>
      <c r="F1754"/>
      <c r="G1754"/>
      <c r="I1754"/>
      <c r="J1754"/>
      <c r="K1754"/>
      <c r="L1754"/>
      <c r="M1754"/>
      <c r="O1754"/>
      <c r="P1754"/>
      <c r="Q1754"/>
    </row>
    <row r="1755" spans="1:20" x14ac:dyDescent="0.25">
      <c r="A175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5" s="37" t="str">
        <f>SUBSTITUTE(SUBSTITUTE(tabSource[[#This Row],[ID]],"&lt;",""),"&gt;","")</f>
        <v>E7420850</v>
      </c>
      <c r="D1755"/>
      <c r="E1755"/>
      <c r="F1755"/>
      <c r="G1755"/>
      <c r="I1755"/>
      <c r="J1755"/>
      <c r="K1755"/>
      <c r="L1755"/>
      <c r="M1755"/>
      <c r="O1755"/>
      <c r="P1755"/>
      <c r="Q1755"/>
    </row>
    <row r="1756" spans="1:20" x14ac:dyDescent="0.25">
      <c r="A175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6" s="37" t="str">
        <f>SUBSTITUTE(SUBSTITUTE(tabSource[[#This Row],[ID]],"&lt;",""),"&gt;","")</f>
        <v>E7420900</v>
      </c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</row>
    <row r="1757" spans="1:20" x14ac:dyDescent="0.25">
      <c r="A175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7" s="37" t="str">
        <f>SUBSTITUTE(SUBSTITUTE(tabSource[[#This Row],[ID]],"&lt;",""),"&gt;","")</f>
        <v>E7420920</v>
      </c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</row>
    <row r="1758" spans="1:20" x14ac:dyDescent="0.25">
      <c r="A175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8" s="37" t="str">
        <f>SUBSTITUTE(SUBSTITUTE(tabSource[[#This Row],[ID]],"&lt;",""),"&gt;","")</f>
        <v>E7420940</v>
      </c>
      <c r="D1758"/>
      <c r="E1758"/>
      <c r="F1758"/>
      <c r="G1758"/>
      <c r="I1758"/>
      <c r="J1758"/>
      <c r="K1758"/>
      <c r="L1758"/>
      <c r="M1758"/>
      <c r="O1758"/>
      <c r="P1758"/>
      <c r="Q1758"/>
    </row>
    <row r="1759" spans="1:20" x14ac:dyDescent="0.25">
      <c r="A175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5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59" s="37" t="str">
        <f>SUBSTITUTE(SUBSTITUTE(tabSource[[#This Row],[ID]],"&lt;",""),"&gt;","")</f>
        <v>E7420950</v>
      </c>
      <c r="D1759"/>
      <c r="E1759"/>
      <c r="F1759"/>
      <c r="G1759"/>
      <c r="I1759"/>
      <c r="J1759"/>
      <c r="K1759"/>
      <c r="L1759"/>
      <c r="M1759"/>
      <c r="O1759"/>
      <c r="P1759"/>
      <c r="Q1759"/>
    </row>
    <row r="1760" spans="1:20" x14ac:dyDescent="0.25">
      <c r="A176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0" s="37" t="str">
        <f>SUBSTITUTE(SUBSTITUTE(tabSource[[#This Row],[ID]],"&lt;",""),"&gt;","")</f>
        <v>E7421000</v>
      </c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</row>
    <row r="1761" spans="1:20" x14ac:dyDescent="0.25">
      <c r="A176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1" s="37" t="str">
        <f>SUBSTITUTE(SUBSTITUTE(tabSource[[#This Row],[ID]],"&lt;",""),"&gt;","")</f>
        <v>E7421020</v>
      </c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</row>
    <row r="1762" spans="1:20" x14ac:dyDescent="0.25">
      <c r="A176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2" s="37" t="str">
        <f>SUBSTITUTE(SUBSTITUTE(tabSource[[#This Row],[ID]],"&lt;",""),"&gt;","")</f>
        <v>E7421040</v>
      </c>
      <c r="D1762"/>
      <c r="E1762"/>
      <c r="F1762"/>
      <c r="G1762"/>
      <c r="I1762"/>
      <c r="J1762"/>
      <c r="K1762"/>
      <c r="L1762"/>
      <c r="M1762"/>
      <c r="O1762"/>
      <c r="P1762"/>
      <c r="Q1762"/>
    </row>
    <row r="1763" spans="1:20" x14ac:dyDescent="0.25">
      <c r="A176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3" s="37" t="str">
        <f>SUBSTITUTE(SUBSTITUTE(tabSource[[#This Row],[ID]],"&lt;",""),"&gt;","")</f>
        <v>E7421050</v>
      </c>
      <c r="D1763"/>
      <c r="E1763"/>
      <c r="F1763"/>
      <c r="G1763"/>
      <c r="I1763"/>
      <c r="J1763"/>
      <c r="K1763"/>
      <c r="L1763"/>
      <c r="M1763"/>
      <c r="O1763"/>
      <c r="P1763"/>
      <c r="Q1763"/>
    </row>
    <row r="1764" spans="1:20" x14ac:dyDescent="0.25">
      <c r="A176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4" s="37" t="str">
        <f>SUBSTITUTE(SUBSTITUTE(tabSource[[#This Row],[ID]],"&lt;",""),"&gt;","")</f>
        <v>E8000640</v>
      </c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</row>
    <row r="1765" spans="1:20" x14ac:dyDescent="0.25">
      <c r="A176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5" s="37" t="str">
        <f>SUBSTITUTE(SUBSTITUTE(tabSource[[#This Row],[ID]],"&lt;",""),"&gt;","")</f>
        <v>E8000650</v>
      </c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</row>
    <row r="1766" spans="1:20" x14ac:dyDescent="0.25">
      <c r="A176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6" s="37" t="str">
        <f>SUBSTITUTE(SUBSTITUTE(tabSource[[#This Row],[ID]],"&lt;",""),"&gt;","")</f>
        <v>E8000740</v>
      </c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</row>
    <row r="1767" spans="1:20" x14ac:dyDescent="0.25">
      <c r="A176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7" s="37" t="str">
        <f>SUBSTITUTE(SUBSTITUTE(tabSource[[#This Row],[ID]],"&lt;",""),"&gt;","")</f>
        <v>E8000750</v>
      </c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</row>
    <row r="1768" spans="1:20" x14ac:dyDescent="0.25">
      <c r="A176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8" s="37" t="str">
        <f>SUBSTITUTE(SUBSTITUTE(tabSource[[#This Row],[ID]],"&lt;",""),"&gt;","")</f>
        <v>E8000840</v>
      </c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</row>
    <row r="1769" spans="1:20" x14ac:dyDescent="0.25">
      <c r="A176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6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69" s="37" t="str">
        <f>SUBSTITUTE(SUBSTITUTE(tabSource[[#This Row],[ID]],"&lt;",""),"&gt;","")</f>
        <v>E8000850</v>
      </c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</row>
    <row r="1770" spans="1:20" x14ac:dyDescent="0.25">
      <c r="A177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0" s="37" t="str">
        <f>SUBSTITUTE(SUBSTITUTE(tabSource[[#This Row],[ID]],"&lt;",""),"&gt;","")</f>
        <v>E8000940</v>
      </c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</row>
    <row r="1771" spans="1:20" x14ac:dyDescent="0.25">
      <c r="A177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1" s="37" t="str">
        <f>SUBSTITUTE(SUBSTITUTE(tabSource[[#This Row],[ID]],"&lt;",""),"&gt;","")</f>
        <v>E8000950</v>
      </c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</row>
    <row r="1772" spans="1:20" x14ac:dyDescent="0.25">
      <c r="A177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2" s="37" t="str">
        <f>SUBSTITUTE(SUBSTITUTE(tabSource[[#This Row],[ID]],"&lt;",""),"&gt;","")</f>
        <v>E8001040</v>
      </c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</row>
    <row r="1773" spans="1:20" x14ac:dyDescent="0.25">
      <c r="A177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3" s="37" t="str">
        <f>SUBSTITUTE(SUBSTITUTE(tabSource[[#This Row],[ID]],"&lt;",""),"&gt;","")</f>
        <v>E8001050</v>
      </c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</row>
    <row r="1774" spans="1:20" x14ac:dyDescent="0.25">
      <c r="A177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4" s="37" t="str">
        <f>SUBSTITUTE(SUBSTITUTE(tabSource[[#This Row],[ID]],"&lt;",""),"&gt;","")</f>
        <v>E8330640</v>
      </c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</row>
    <row r="1775" spans="1:20" x14ac:dyDescent="0.25">
      <c r="A177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5" s="37" t="str">
        <f>SUBSTITUTE(SUBSTITUTE(tabSource[[#This Row],[ID]],"&lt;",""),"&gt;","")</f>
        <v>E8330650</v>
      </c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</row>
    <row r="1776" spans="1:20" x14ac:dyDescent="0.25">
      <c r="A177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6" s="37" t="str">
        <f>SUBSTITUTE(SUBSTITUTE(tabSource[[#This Row],[ID]],"&lt;",""),"&gt;","")</f>
        <v>E8330740</v>
      </c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</row>
    <row r="1777" spans="1:20" x14ac:dyDescent="0.25">
      <c r="A177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7" s="37" t="str">
        <f>SUBSTITUTE(SUBSTITUTE(tabSource[[#This Row],[ID]],"&lt;",""),"&gt;","")</f>
        <v>E8330750</v>
      </c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</row>
    <row r="1778" spans="1:20" x14ac:dyDescent="0.25">
      <c r="A177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8" s="37" t="str">
        <f>SUBSTITUTE(SUBSTITUTE(tabSource[[#This Row],[ID]],"&lt;",""),"&gt;","")</f>
        <v>E8330840</v>
      </c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</row>
    <row r="1779" spans="1:20" x14ac:dyDescent="0.25">
      <c r="A177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7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79" s="37" t="str">
        <f>SUBSTITUTE(SUBSTITUTE(tabSource[[#This Row],[ID]],"&lt;",""),"&gt;","")</f>
        <v>E8330850</v>
      </c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</row>
    <row r="1780" spans="1:20" x14ac:dyDescent="0.25">
      <c r="A178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0" s="37" t="str">
        <f>SUBSTITUTE(SUBSTITUTE(tabSource[[#This Row],[ID]],"&lt;",""),"&gt;","")</f>
        <v>E8330940</v>
      </c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</row>
    <row r="1781" spans="1:20" x14ac:dyDescent="0.25">
      <c r="A178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1" s="37" t="str">
        <f>SUBSTITUTE(SUBSTITUTE(tabSource[[#This Row],[ID]],"&lt;",""),"&gt;","")</f>
        <v>E8330950</v>
      </c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</row>
    <row r="1782" spans="1:20" x14ac:dyDescent="0.25">
      <c r="A178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2" s="37" t="str">
        <f>SUBSTITUTE(SUBSTITUTE(tabSource[[#This Row],[ID]],"&lt;",""),"&gt;","")</f>
        <v>E8331040</v>
      </c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</row>
    <row r="1783" spans="1:20" x14ac:dyDescent="0.25">
      <c r="A178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3" s="37" t="str">
        <f>SUBSTITUTE(SUBSTITUTE(tabSource[[#This Row],[ID]],"&lt;",""),"&gt;","")</f>
        <v>E8331050</v>
      </c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</row>
    <row r="1784" spans="1:20" x14ac:dyDescent="0.25">
      <c r="A178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4" s="37" t="str">
        <f>SUBSTITUTE(SUBSTITUTE(tabSource[[#This Row],[ID]],"&lt;",""),"&gt;","")</f>
        <v>E8420640</v>
      </c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</row>
    <row r="1785" spans="1:20" x14ac:dyDescent="0.25">
      <c r="A178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5" s="37" t="str">
        <f>SUBSTITUTE(SUBSTITUTE(tabSource[[#This Row],[ID]],"&lt;",""),"&gt;","")</f>
        <v>E8420650</v>
      </c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</row>
    <row r="1786" spans="1:20" x14ac:dyDescent="0.25">
      <c r="A178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6" s="37" t="str">
        <f>SUBSTITUTE(SUBSTITUTE(tabSource[[#This Row],[ID]],"&lt;",""),"&gt;","")</f>
        <v>E8420740</v>
      </c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</row>
    <row r="1787" spans="1:20" x14ac:dyDescent="0.25">
      <c r="A178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7" s="37" t="str">
        <f>SUBSTITUTE(SUBSTITUTE(tabSource[[#This Row],[ID]],"&lt;",""),"&gt;","")</f>
        <v>E8420750</v>
      </c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</row>
    <row r="1788" spans="1:20" x14ac:dyDescent="0.25">
      <c r="A178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8" s="37" t="str">
        <f>SUBSTITUTE(SUBSTITUTE(tabSource[[#This Row],[ID]],"&lt;",""),"&gt;","")</f>
        <v>E8420840</v>
      </c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</row>
    <row r="1789" spans="1:20" x14ac:dyDescent="0.25">
      <c r="A178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8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89" s="37" t="str">
        <f>SUBSTITUTE(SUBSTITUTE(tabSource[[#This Row],[ID]],"&lt;",""),"&gt;","")</f>
        <v>E8420850</v>
      </c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</row>
    <row r="1790" spans="1:20" x14ac:dyDescent="0.25">
      <c r="A179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0" s="37" t="str">
        <f>SUBSTITUTE(SUBSTITUTE(tabSource[[#This Row],[ID]],"&lt;",""),"&gt;","")</f>
        <v>E8420940</v>
      </c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</row>
    <row r="1791" spans="1:20" x14ac:dyDescent="0.25">
      <c r="A179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1" s="37" t="str">
        <f>SUBSTITUTE(SUBSTITUTE(tabSource[[#This Row],[ID]],"&lt;",""),"&gt;","")</f>
        <v>E8420950</v>
      </c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</row>
    <row r="1792" spans="1:20" x14ac:dyDescent="0.25">
      <c r="A179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2" s="37" t="str">
        <f>SUBSTITUTE(SUBSTITUTE(tabSource[[#This Row],[ID]],"&lt;",""),"&gt;","")</f>
        <v>E8421040</v>
      </c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</row>
    <row r="1793" spans="1:20" x14ac:dyDescent="0.25">
      <c r="A179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3" s="37" t="str">
        <f>SUBSTITUTE(SUBSTITUTE(tabSource[[#This Row],[ID]],"&lt;",""),"&gt;","")</f>
        <v>E8421050</v>
      </c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</row>
    <row r="1794" spans="1:20" x14ac:dyDescent="0.25">
      <c r="A179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4" s="37" t="str">
        <f>SUBSTITUTE(SUBSTITUTE(tabSource[[#This Row],[ID]],"&lt;",""),"&gt;","")</f>
        <v>E9000650</v>
      </c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</row>
    <row r="1795" spans="1:20" x14ac:dyDescent="0.25">
      <c r="A179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5" s="37" t="str">
        <f>SUBSTITUTE(SUBSTITUTE(tabSource[[#This Row],[ID]],"&lt;",""),"&gt;","")</f>
        <v>E9000750</v>
      </c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</row>
    <row r="1796" spans="1:20" x14ac:dyDescent="0.25">
      <c r="A179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6" s="37" t="str">
        <f>SUBSTITUTE(SUBSTITUTE(tabSource[[#This Row],[ID]],"&lt;",""),"&gt;","")</f>
        <v>E9000850</v>
      </c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</row>
    <row r="1797" spans="1:20" x14ac:dyDescent="0.25">
      <c r="A179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7" s="37" t="str">
        <f>SUBSTITUTE(SUBSTITUTE(tabSource[[#This Row],[ID]],"&lt;",""),"&gt;","")</f>
        <v>E9000950</v>
      </c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</row>
    <row r="1798" spans="1:20" x14ac:dyDescent="0.25">
      <c r="A179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8" s="37" t="str">
        <f>SUBSTITUTE(SUBSTITUTE(tabSource[[#This Row],[ID]],"&lt;",""),"&gt;","")</f>
        <v>E9001050</v>
      </c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</row>
    <row r="1799" spans="1:20" x14ac:dyDescent="0.25">
      <c r="A179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79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799" s="37" t="str">
        <f>SUBSTITUTE(SUBSTITUTE(tabSource[[#This Row],[ID]],"&lt;",""),"&gt;","")</f>
        <v>E9420650</v>
      </c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</row>
    <row r="1800" spans="1:20" x14ac:dyDescent="0.25">
      <c r="A180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0" s="37" t="str">
        <f>SUBSTITUTE(SUBSTITUTE(tabSource[[#This Row],[ID]],"&lt;",""),"&gt;","")</f>
        <v>E9420750</v>
      </c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</row>
    <row r="1801" spans="1:20" x14ac:dyDescent="0.25">
      <c r="A180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1" s="37" t="str">
        <f>SUBSTITUTE(SUBSTITUTE(tabSource[[#This Row],[ID]],"&lt;",""),"&gt;","")</f>
        <v>E9420850</v>
      </c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</row>
    <row r="1802" spans="1:20" x14ac:dyDescent="0.25">
      <c r="A180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2" s="37" t="str">
        <f>SUBSTITUTE(SUBSTITUTE(tabSource[[#This Row],[ID]],"&lt;",""),"&gt;","")</f>
        <v>E9420950</v>
      </c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</row>
    <row r="1803" spans="1:20" x14ac:dyDescent="0.25">
      <c r="A180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3" s="37" t="str">
        <f>SUBSTITUTE(SUBSTITUTE(tabSource[[#This Row],[ID]],"&lt;",""),"&gt;","")</f>
        <v>E9421050</v>
      </c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</row>
    <row r="1804" spans="1:20" x14ac:dyDescent="0.25">
      <c r="A180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4" s="37" t="str">
        <f>SUBSTITUTE(SUBSTITUTE(tabSource[[#This Row],[ID]],"&lt;",""),"&gt;","")</f>
        <v>E9800650</v>
      </c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</row>
    <row r="1805" spans="1:20" x14ac:dyDescent="0.25">
      <c r="A180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5" s="37" t="str">
        <f>SUBSTITUTE(SUBSTITUTE(tabSource[[#This Row],[ID]],"&lt;",""),"&gt;","")</f>
        <v>E9800750</v>
      </c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</row>
    <row r="1806" spans="1:20" x14ac:dyDescent="0.25">
      <c r="A180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6" s="37" t="str">
        <f>SUBSTITUTE(SUBSTITUTE(tabSource[[#This Row],[ID]],"&lt;",""),"&gt;","")</f>
        <v>E9800850</v>
      </c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</row>
    <row r="1807" spans="1:20" x14ac:dyDescent="0.25">
      <c r="A180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7" s="37" t="str">
        <f>SUBSTITUTE(SUBSTITUTE(tabSource[[#This Row],[ID]],"&lt;",""),"&gt;","")</f>
        <v>E9800950</v>
      </c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</row>
    <row r="1808" spans="1:20" x14ac:dyDescent="0.25">
      <c r="A180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8" s="37" t="str">
        <f>SUBSTITUTE(SUBSTITUTE(tabSource[[#This Row],[ID]],"&lt;",""),"&gt;","")</f>
        <v>E9801050</v>
      </c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</row>
    <row r="1809" spans="1:20" x14ac:dyDescent="0.25">
      <c r="A180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0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09" s="37" t="str">
        <f>SUBSTITUTE(SUBSTITUTE(tabSource[[#This Row],[ID]],"&lt;",""),"&gt;","")</f>
        <v>E9820650</v>
      </c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</row>
    <row r="1810" spans="1:20" x14ac:dyDescent="0.25">
      <c r="A181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0" s="37" t="str">
        <f>SUBSTITUTE(SUBSTITUTE(tabSource[[#This Row],[ID]],"&lt;",""),"&gt;","")</f>
        <v>E9820750</v>
      </c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</row>
    <row r="1811" spans="1:20" x14ac:dyDescent="0.25">
      <c r="A181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1" s="37" t="str">
        <f>SUBSTITUTE(SUBSTITUTE(tabSource[[#This Row],[ID]],"&lt;",""),"&gt;","")</f>
        <v>E9820850</v>
      </c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</row>
    <row r="1812" spans="1:20" x14ac:dyDescent="0.25">
      <c r="A181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2" s="37" t="str">
        <f>SUBSTITUTE(SUBSTITUTE(tabSource[[#This Row],[ID]],"&lt;",""),"&gt;","")</f>
        <v>E9820950</v>
      </c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</row>
    <row r="1813" spans="1:20" x14ac:dyDescent="0.25">
      <c r="A181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3" s="37" t="str">
        <f>SUBSTITUTE(SUBSTITUTE(tabSource[[#This Row],[ID]],"&lt;",""),"&gt;","")</f>
        <v>E9821050</v>
      </c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</row>
    <row r="1814" spans="1:20" x14ac:dyDescent="0.25">
      <c r="A181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4" s="37" t="str">
        <f>SUBSTITUTE(SUBSTITUTE(tabSource[[#This Row],[ID]],"&lt;",""),"&gt;","")</f>
        <v>Eck</v>
      </c>
      <c r="D1814"/>
      <c r="E1814"/>
      <c r="F1814"/>
      <c r="G1814"/>
      <c r="I1814"/>
      <c r="J1814"/>
      <c r="K1814"/>
      <c r="L1814"/>
      <c r="M1814"/>
      <c r="N1814"/>
      <c r="O1814"/>
      <c r="P1814"/>
      <c r="Q1814"/>
      <c r="R1814"/>
      <c r="S1814"/>
      <c r="T1814"/>
    </row>
    <row r="1815" spans="1:20" x14ac:dyDescent="0.25">
      <c r="A181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5" s="37" t="str">
        <f>SUBSTITUTE(SUBSTITUTE(tabSource[[#This Row],[ID]],"&lt;",""),"&gt;","")</f>
        <v>Eck</v>
      </c>
      <c r="D1815"/>
      <c r="E1815"/>
      <c r="F1815"/>
      <c r="G1815"/>
      <c r="I1815"/>
      <c r="J1815"/>
      <c r="K1815"/>
      <c r="L1815"/>
      <c r="M1815"/>
      <c r="N1815"/>
      <c r="O1815"/>
      <c r="P1815"/>
      <c r="Q1815"/>
      <c r="R1815"/>
      <c r="S1815"/>
      <c r="T1815"/>
    </row>
    <row r="1816" spans="1:20" x14ac:dyDescent="0.25">
      <c r="A181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6" s="37" t="str">
        <f>SUBSTITUTE(SUBSTITUTE(tabSource[[#This Row],[ID]],"&lt;",""),"&gt;","")</f>
        <v>Eck</v>
      </c>
      <c r="D1816"/>
      <c r="E1816"/>
      <c r="F1816"/>
      <c r="G1816"/>
      <c r="I1816"/>
      <c r="J1816"/>
      <c r="K1816"/>
      <c r="L1816"/>
      <c r="M1816"/>
      <c r="N1816"/>
      <c r="O1816"/>
      <c r="P1816"/>
      <c r="Q1816"/>
      <c r="R1816"/>
      <c r="S1816"/>
      <c r="T1816"/>
    </row>
    <row r="1817" spans="1:20" x14ac:dyDescent="0.25">
      <c r="A181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7" s="37" t="str">
        <f>SUBSTITUTE(SUBSTITUTE(tabSource[[#This Row],[ID]],"&lt;",""),"&gt;","")</f>
        <v>Eck</v>
      </c>
      <c r="D1817"/>
      <c r="E1817"/>
      <c r="F1817"/>
      <c r="G1817"/>
      <c r="I1817"/>
      <c r="J1817"/>
      <c r="K1817"/>
      <c r="L1817"/>
      <c r="M1817"/>
      <c r="N1817"/>
      <c r="O1817"/>
      <c r="P1817"/>
      <c r="Q1817"/>
      <c r="R1817"/>
      <c r="S1817"/>
      <c r="T1817"/>
    </row>
    <row r="1818" spans="1:20" x14ac:dyDescent="0.25">
      <c r="A181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8" s="37" t="str">
        <f>SUBSTITUTE(SUBSTITUTE(tabSource[[#This Row],[ID]],"&lt;",""),"&gt;","")</f>
        <v>Eck</v>
      </c>
      <c r="D1818"/>
      <c r="E1818"/>
      <c r="F1818"/>
      <c r="G1818"/>
      <c r="I1818"/>
      <c r="J1818"/>
      <c r="K1818"/>
      <c r="L1818"/>
      <c r="M1818"/>
      <c r="N1818"/>
      <c r="O1818"/>
      <c r="P1818"/>
      <c r="Q1818"/>
      <c r="R1818"/>
      <c r="S1818"/>
      <c r="T1818"/>
    </row>
    <row r="1819" spans="1:20" x14ac:dyDescent="0.25">
      <c r="A181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1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19" s="37" t="str">
        <f>SUBSTITUTE(SUBSTITUTE(tabSource[[#This Row],[ID]],"&lt;",""),"&gt;","")</f>
        <v>Eck</v>
      </c>
      <c r="D1819"/>
      <c r="E1819"/>
      <c r="F1819"/>
      <c r="G1819"/>
      <c r="I1819"/>
      <c r="J1819"/>
      <c r="K1819"/>
      <c r="L1819"/>
      <c r="M1819"/>
      <c r="N1819"/>
      <c r="O1819"/>
      <c r="P1819"/>
      <c r="Q1819"/>
      <c r="R1819"/>
      <c r="S1819"/>
      <c r="T1819"/>
    </row>
    <row r="1820" spans="1:20" x14ac:dyDescent="0.25">
      <c r="A182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0" s="37" t="str">
        <f>SUBSTITUTE(SUBSTITUTE(tabSource[[#This Row],[ID]],"&lt;",""),"&gt;","")</f>
        <v>Eck</v>
      </c>
      <c r="D1820"/>
      <c r="E1820"/>
      <c r="F1820"/>
      <c r="G1820"/>
      <c r="I1820"/>
      <c r="J1820"/>
      <c r="K1820"/>
      <c r="L1820"/>
      <c r="M1820"/>
      <c r="N1820"/>
      <c r="O1820"/>
      <c r="P1820"/>
      <c r="Q1820"/>
      <c r="R1820"/>
      <c r="S1820"/>
      <c r="T1820"/>
    </row>
    <row r="1821" spans="1:20" x14ac:dyDescent="0.25">
      <c r="A182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1" s="37" t="str">
        <f>SUBSTITUTE(SUBSTITUTE(tabSource[[#This Row],[ID]],"&lt;",""),"&gt;","")</f>
        <v>Eck</v>
      </c>
      <c r="D1821"/>
      <c r="E1821"/>
      <c r="F1821"/>
      <c r="G1821"/>
      <c r="I1821"/>
      <c r="J1821"/>
      <c r="K1821"/>
      <c r="L1821"/>
      <c r="M1821"/>
      <c r="N1821"/>
      <c r="O1821"/>
      <c r="P1821"/>
      <c r="Q1821"/>
      <c r="R1821"/>
      <c r="S1821"/>
      <c r="T1821"/>
    </row>
    <row r="1822" spans="1:20" x14ac:dyDescent="0.25">
      <c r="A182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2" s="37" t="str">
        <f>SUBSTITUTE(SUBSTITUTE(tabSource[[#This Row],[ID]],"&lt;",""),"&gt;","")</f>
        <v>Eck</v>
      </c>
      <c r="D1822"/>
      <c r="E1822"/>
      <c r="F1822"/>
      <c r="G1822"/>
      <c r="I1822"/>
      <c r="J1822"/>
      <c r="K1822"/>
      <c r="L1822"/>
      <c r="M1822"/>
      <c r="N1822"/>
      <c r="O1822"/>
      <c r="P1822"/>
      <c r="Q1822"/>
      <c r="R1822"/>
      <c r="S1822"/>
      <c r="T1822"/>
    </row>
    <row r="1823" spans="1:20" x14ac:dyDescent="0.25">
      <c r="A182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3" s="37" t="str">
        <f>SUBSTITUTE(SUBSTITUTE(tabSource[[#This Row],[ID]],"&lt;",""),"&gt;","")</f>
        <v>Eck</v>
      </c>
      <c r="D1823"/>
      <c r="E1823"/>
      <c r="F1823"/>
      <c r="G1823"/>
      <c r="I1823"/>
      <c r="J1823"/>
      <c r="K1823"/>
      <c r="L1823"/>
      <c r="M1823"/>
      <c r="N1823"/>
      <c r="O1823"/>
      <c r="P1823"/>
      <c r="Q1823"/>
      <c r="R1823"/>
      <c r="S1823"/>
      <c r="T1823"/>
    </row>
    <row r="1824" spans="1:20" x14ac:dyDescent="0.25">
      <c r="A182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4" s="37" t="str">
        <f>SUBSTITUTE(SUBSTITUTE(tabSource[[#This Row],[ID]],"&lt;",""),"&gt;","")</f>
        <v>Eck</v>
      </c>
      <c r="D1824"/>
      <c r="E1824"/>
      <c r="F1824"/>
      <c r="G1824"/>
      <c r="I1824"/>
      <c r="J1824"/>
      <c r="K1824"/>
      <c r="L1824"/>
      <c r="M1824"/>
      <c r="N1824"/>
      <c r="O1824"/>
      <c r="P1824"/>
      <c r="Q1824"/>
      <c r="R1824"/>
      <c r="S1824"/>
      <c r="T1824"/>
    </row>
    <row r="1825" spans="1:20" x14ac:dyDescent="0.25">
      <c r="A182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5" s="37" t="str">
        <f>SUBSTITUTE(SUBSTITUTE(tabSource[[#This Row],[ID]],"&lt;",""),"&gt;","")</f>
        <v>Eck</v>
      </c>
      <c r="D1825"/>
      <c r="E1825"/>
      <c r="F1825"/>
      <c r="G1825"/>
      <c r="I1825"/>
      <c r="J1825"/>
      <c r="K1825"/>
      <c r="L1825"/>
      <c r="M1825"/>
      <c r="N1825"/>
      <c r="O1825"/>
      <c r="P1825"/>
      <c r="Q1825"/>
      <c r="R1825"/>
      <c r="S1825"/>
      <c r="T1825"/>
    </row>
    <row r="1826" spans="1:20" x14ac:dyDescent="0.25">
      <c r="A182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6" s="37" t="str">
        <f>SUBSTITUTE(SUBSTITUTE(tabSource[[#This Row],[ID]],"&lt;",""),"&gt;","")</f>
        <v>Eck</v>
      </c>
      <c r="D1826"/>
      <c r="E1826"/>
      <c r="F1826"/>
      <c r="G1826"/>
      <c r="I1826"/>
      <c r="J1826"/>
      <c r="K1826"/>
      <c r="L1826"/>
      <c r="M1826"/>
      <c r="N1826"/>
      <c r="O1826"/>
      <c r="P1826"/>
      <c r="Q1826"/>
      <c r="R1826"/>
      <c r="S1826"/>
      <c r="T1826"/>
    </row>
    <row r="1827" spans="1:20" x14ac:dyDescent="0.25">
      <c r="A182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7" s="37" t="str">
        <f>SUBSTITUTE(SUBSTITUTE(tabSource[[#This Row],[ID]],"&lt;",""),"&gt;","")</f>
        <v>Eck</v>
      </c>
      <c r="D1827"/>
      <c r="E1827"/>
      <c r="F1827"/>
      <c r="G1827"/>
      <c r="I1827"/>
      <c r="J1827"/>
      <c r="K1827"/>
      <c r="L1827"/>
      <c r="M1827"/>
      <c r="N1827"/>
      <c r="O1827"/>
      <c r="P1827"/>
      <c r="Q1827"/>
      <c r="R1827"/>
      <c r="S1827"/>
      <c r="T1827"/>
    </row>
    <row r="1828" spans="1:20" x14ac:dyDescent="0.25">
      <c r="A182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8" s="37" t="str">
        <f>SUBSTITUTE(SUBSTITUTE(tabSource[[#This Row],[ID]],"&lt;",""),"&gt;","")</f>
        <v>Eck</v>
      </c>
      <c r="D1828"/>
      <c r="E1828"/>
      <c r="F1828"/>
      <c r="G1828"/>
      <c r="I1828"/>
      <c r="J1828"/>
      <c r="K1828"/>
      <c r="L1828"/>
      <c r="M1828"/>
      <c r="N1828"/>
      <c r="O1828"/>
      <c r="P1828"/>
      <c r="Q1828"/>
      <c r="R1828"/>
      <c r="S1828"/>
      <c r="T1828"/>
    </row>
    <row r="1829" spans="1:20" x14ac:dyDescent="0.25">
      <c r="A182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2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29" s="37" t="str">
        <f>SUBSTITUTE(SUBSTITUTE(tabSource[[#This Row],[ID]],"&lt;",""),"&gt;","")</f>
        <v>Eck</v>
      </c>
      <c r="D1829"/>
      <c r="E1829"/>
      <c r="F1829"/>
      <c r="G1829"/>
      <c r="I1829"/>
      <c r="J1829"/>
      <c r="K1829"/>
      <c r="L1829"/>
      <c r="M1829"/>
      <c r="N1829"/>
      <c r="O1829"/>
      <c r="P1829"/>
      <c r="Q1829"/>
      <c r="R1829"/>
      <c r="S1829"/>
      <c r="T1829"/>
    </row>
    <row r="1830" spans="1:20" x14ac:dyDescent="0.25">
      <c r="A183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0" s="37" t="str">
        <f>SUBSTITUTE(SUBSTITUTE(tabSource[[#This Row],[ID]],"&lt;",""),"&gt;","")</f>
        <v>Eck</v>
      </c>
      <c r="D1830"/>
      <c r="E1830"/>
      <c r="F1830"/>
      <c r="G1830"/>
      <c r="I1830"/>
      <c r="J1830"/>
      <c r="K1830"/>
      <c r="L1830"/>
      <c r="M1830"/>
      <c r="N1830"/>
      <c r="O1830"/>
      <c r="P1830"/>
      <c r="Q1830"/>
      <c r="R1830"/>
      <c r="S1830"/>
      <c r="T1830"/>
    </row>
    <row r="1831" spans="1:20" x14ac:dyDescent="0.25">
      <c r="A183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1" s="37" t="str">
        <f>SUBSTITUTE(SUBSTITUTE(tabSource[[#This Row],[ID]],"&lt;",""),"&gt;","")</f>
        <v>Eck</v>
      </c>
      <c r="D1831"/>
      <c r="E1831"/>
      <c r="F1831"/>
      <c r="G1831"/>
      <c r="I1831"/>
      <c r="J1831"/>
      <c r="K1831"/>
      <c r="L1831"/>
      <c r="M1831"/>
      <c r="N1831"/>
      <c r="O1831"/>
      <c r="P1831"/>
      <c r="Q1831"/>
      <c r="R1831"/>
      <c r="S1831"/>
      <c r="T1831"/>
    </row>
    <row r="1832" spans="1:20" x14ac:dyDescent="0.25">
      <c r="A183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2" s="37" t="str">
        <f>SUBSTITUTE(SUBSTITUTE(tabSource[[#This Row],[ID]],"&lt;",""),"&gt;","")</f>
        <v>G010040</v>
      </c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</row>
    <row r="1833" spans="1:20" x14ac:dyDescent="0.25">
      <c r="A183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3" s="37" t="str">
        <f>SUBSTITUTE(SUBSTITUTE(tabSource[[#This Row],[ID]],"&lt;",""),"&gt;","")</f>
        <v>G010050</v>
      </c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</row>
    <row r="1834" spans="1:20" x14ac:dyDescent="0.25">
      <c r="A183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4" s="37" t="str">
        <f>SUBSTITUTE(SUBSTITUTE(tabSource[[#This Row],[ID]],"&lt;",""),"&gt;","")</f>
        <v>G010051</v>
      </c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</row>
    <row r="1835" spans="1:20" x14ac:dyDescent="0.25">
      <c r="A183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5" s="37" t="str">
        <f>SUBSTITUTE(SUBSTITUTE(tabSource[[#This Row],[ID]],"&lt;",""),"&gt;","")</f>
        <v>G014240</v>
      </c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</row>
    <row r="1836" spans="1:20" x14ac:dyDescent="0.25">
      <c r="A183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6" s="37" t="str">
        <f>SUBSTITUTE(SUBSTITUTE(tabSource[[#This Row],[ID]],"&lt;",""),"&gt;","")</f>
        <v>G014250</v>
      </c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</row>
    <row r="1837" spans="1:20" x14ac:dyDescent="0.25">
      <c r="A183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7" s="37" t="str">
        <f>SUBSTITUTE(SUBSTITUTE(tabSource[[#This Row],[ID]],"&lt;",""),"&gt;","")</f>
        <v>G014251</v>
      </c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</row>
    <row r="1838" spans="1:20" x14ac:dyDescent="0.25">
      <c r="A183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8" s="37" t="str">
        <f>SUBSTITUTE(SUBSTITUTE(tabSource[[#This Row],[ID]],"&lt;",""),"&gt;","")</f>
        <v>G020040</v>
      </c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</row>
    <row r="1839" spans="1:20" x14ac:dyDescent="0.25">
      <c r="A183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3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39" s="37" t="str">
        <f>SUBSTITUTE(SUBSTITUTE(tabSource[[#This Row],[ID]],"&lt;",""),"&gt;","")</f>
        <v>G020050</v>
      </c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</row>
    <row r="1840" spans="1:20" x14ac:dyDescent="0.25">
      <c r="A184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0" s="37" t="str">
        <f>SUBSTITUTE(SUBSTITUTE(tabSource[[#This Row],[ID]],"&lt;",""),"&gt;","")</f>
        <v>G020051</v>
      </c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</row>
    <row r="1841" spans="1:20" x14ac:dyDescent="0.25">
      <c r="A184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1" s="37" t="str">
        <f>SUBSTITUTE(SUBSTITUTE(tabSource[[#This Row],[ID]],"&lt;",""),"&gt;","")</f>
        <v>G0216540</v>
      </c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</row>
    <row r="1842" spans="1:20" x14ac:dyDescent="0.25">
      <c r="A184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2" s="37" t="str">
        <f>SUBSTITUTE(SUBSTITUTE(tabSource[[#This Row],[ID]],"&lt;",""),"&gt;","")</f>
        <v>G0230840</v>
      </c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</row>
    <row r="1843" spans="1:20" x14ac:dyDescent="0.25">
      <c r="A184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3" s="37" t="str">
        <f>SUBSTITUTE(SUBSTITUTE(tabSource[[#This Row],[ID]],"&lt;",""),"&gt;","")</f>
        <v>G024240</v>
      </c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</row>
    <row r="1844" spans="1:20" x14ac:dyDescent="0.25">
      <c r="A184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4" s="37" t="str">
        <f>SUBSTITUTE(SUBSTITUTE(tabSource[[#This Row],[ID]],"&lt;",""),"&gt;","")</f>
        <v>G024250</v>
      </c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</row>
    <row r="1845" spans="1:20" x14ac:dyDescent="0.25">
      <c r="A184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5" s="37" t="str">
        <f>SUBSTITUTE(SUBSTITUTE(tabSource[[#This Row],[ID]],"&lt;",""),"&gt;","")</f>
        <v>G024251</v>
      </c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</row>
    <row r="1846" spans="1:20" x14ac:dyDescent="0.25">
      <c r="A184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6" s="37" t="str">
        <f>SUBSTITUTE(SUBSTITUTE(tabSource[[#This Row],[ID]],"&lt;",""),"&gt;","")</f>
        <v>G0245140</v>
      </c>
      <c r="D1846"/>
      <c r="E1846"/>
      <c r="F1846"/>
      <c r="G1846"/>
      <c r="I1846"/>
      <c r="J1846"/>
      <c r="K1846"/>
      <c r="L1846"/>
      <c r="M1846"/>
      <c r="O1846"/>
      <c r="P1846"/>
      <c r="Q1846"/>
      <c r="R1846"/>
      <c r="S1846"/>
      <c r="T1846"/>
    </row>
    <row r="1847" spans="1:20" x14ac:dyDescent="0.25">
      <c r="A184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7" s="37" t="str">
        <f>SUBSTITUTE(SUBSTITUTE(tabSource[[#This Row],[ID]],"&lt;",""),"&gt;","")</f>
        <v>G0245151</v>
      </c>
      <c r="D1847"/>
      <c r="E1847"/>
      <c r="F1847"/>
      <c r="G1847"/>
      <c r="I1847"/>
      <c r="J1847"/>
      <c r="K1847"/>
      <c r="L1847"/>
      <c r="M1847"/>
      <c r="O1847"/>
      <c r="P1847"/>
      <c r="Q1847"/>
    </row>
    <row r="1848" spans="1:20" x14ac:dyDescent="0.25">
      <c r="A184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8" s="37" t="str">
        <f>SUBSTITUTE(SUBSTITUTE(tabSource[[#This Row],[ID]],"&lt;",""),"&gt;","")</f>
        <v>G0250140</v>
      </c>
      <c r="D1848"/>
      <c r="E1848"/>
      <c r="F1848"/>
      <c r="G1848"/>
      <c r="I1848"/>
      <c r="J1848"/>
      <c r="K1848"/>
      <c r="L1848"/>
      <c r="M1848"/>
      <c r="O1848"/>
      <c r="P1848"/>
      <c r="Q1848"/>
      <c r="R1848"/>
      <c r="S1848"/>
      <c r="T1848"/>
    </row>
    <row r="1849" spans="1:20" x14ac:dyDescent="0.25">
      <c r="A184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4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49" s="37" t="str">
        <f>SUBSTITUTE(SUBSTITUTE(tabSource[[#This Row],[ID]],"&lt;",""),"&gt;","")</f>
        <v>G0250151</v>
      </c>
      <c r="D1849"/>
      <c r="E1849"/>
      <c r="F1849"/>
      <c r="G1849"/>
      <c r="I1849"/>
      <c r="J1849"/>
      <c r="K1849"/>
      <c r="L1849"/>
      <c r="M1849"/>
      <c r="O1849"/>
      <c r="P1849"/>
      <c r="Q1849"/>
    </row>
    <row r="1850" spans="1:20" x14ac:dyDescent="0.25">
      <c r="A185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0" s="37" t="str">
        <f>SUBSTITUTE(SUBSTITUTE(tabSource[[#This Row],[ID]],"&lt;",""),"&gt;","")</f>
        <v>G0252140</v>
      </c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</row>
    <row r="1851" spans="1:20" x14ac:dyDescent="0.25">
      <c r="A185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1" s="37" t="str">
        <f>SUBSTITUTE(SUBSTITUTE(tabSource[[#This Row],[ID]],"&lt;",""),"&gt;","")</f>
        <v>G0270140</v>
      </c>
      <c r="D1851"/>
      <c r="E1851"/>
      <c r="F1851"/>
      <c r="G1851"/>
      <c r="I1851"/>
      <c r="J1851"/>
      <c r="K1851"/>
      <c r="L1851"/>
      <c r="M1851"/>
      <c r="O1851"/>
      <c r="P1851"/>
      <c r="Q1851"/>
    </row>
    <row r="1852" spans="1:20" x14ac:dyDescent="0.25">
      <c r="A185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2" s="37" t="str">
        <f>SUBSTITUTE(SUBSTITUTE(tabSource[[#This Row],[ID]],"&lt;",""),"&gt;","")</f>
        <v>G0272140</v>
      </c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</row>
    <row r="1853" spans="1:20" x14ac:dyDescent="0.25">
      <c r="A185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3" s="37" t="str">
        <f>SUBSTITUTE(SUBSTITUTE(tabSource[[#This Row],[ID]],"&lt;",""),"&gt;","")</f>
        <v>G0330840</v>
      </c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</row>
    <row r="1854" spans="1:20" x14ac:dyDescent="0.25">
      <c r="A185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4" s="37" t="str">
        <f>SUBSTITUTE(SUBSTITUTE(tabSource[[#This Row],[ID]],"&lt;",""),"&gt;","")</f>
        <v>G0452140</v>
      </c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</row>
    <row r="1855" spans="1:20" x14ac:dyDescent="0.25">
      <c r="A185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5" s="37" t="str">
        <f>SUBSTITUTE(SUBSTITUTE(tabSource[[#This Row],[ID]],"&lt;",""),"&gt;","")</f>
        <v>G0472140</v>
      </c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</row>
    <row r="1856" spans="1:20" x14ac:dyDescent="0.25">
      <c r="A185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6" s="37" t="str">
        <f>SUBSTITUTE(SUBSTITUTE(tabSource[[#This Row],[ID]],"&lt;",""),"&gt;","")</f>
        <v>G0516540</v>
      </c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</row>
    <row r="1857" spans="1:20" x14ac:dyDescent="0.25">
      <c r="A185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7" s="37" t="str">
        <f>SUBSTITUTE(SUBSTITUTE(tabSource[[#This Row],[ID]],"&lt;",""),"&gt;","")</f>
        <v>G0530640</v>
      </c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</row>
    <row r="1858" spans="1:20" x14ac:dyDescent="0.25">
      <c r="A185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8" s="37" t="str">
        <f>SUBSTITUTE(SUBSTITUTE(tabSource[[#This Row],[ID]],"&lt;",""),"&gt;","")</f>
        <v>G0530840</v>
      </c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</row>
    <row r="1859" spans="1:20" x14ac:dyDescent="0.25">
      <c r="A185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5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59" s="37" t="str">
        <f>SUBSTITUTE(SUBSTITUTE(tabSource[[#This Row],[ID]],"&lt;",""),"&gt;","")</f>
        <v>G0730840</v>
      </c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</row>
    <row r="1860" spans="1:20" x14ac:dyDescent="0.25">
      <c r="A186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0" s="37" t="str">
        <f>SUBSTITUTE(SUBSTITUTE(tabSource[[#This Row],[ID]],"&lt;",""),"&gt;","")</f>
        <v>G1245040</v>
      </c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</row>
    <row r="1861" spans="1:20" x14ac:dyDescent="0.25">
      <c r="A186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1" s="37" t="str">
        <f>SUBSTITUTE(SUBSTITUTE(tabSource[[#This Row],[ID]],"&lt;",""),"&gt;","")</f>
        <v>G1245140</v>
      </c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</row>
    <row r="1862" spans="1:20" x14ac:dyDescent="0.25">
      <c r="A186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2" s="37" t="str">
        <f>SUBSTITUTE(SUBSTITUTE(tabSource[[#This Row],[ID]],"&lt;",""),"&gt;","")</f>
        <v>G1245540</v>
      </c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</row>
    <row r="1863" spans="1:20" x14ac:dyDescent="0.25">
      <c r="A186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3" s="37" t="str">
        <f>SUBSTITUTE(SUBSTITUTE(tabSource[[#This Row],[ID]],"&lt;",""),"&gt;","")</f>
        <v>G1245640</v>
      </c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</row>
    <row r="1864" spans="1:20" x14ac:dyDescent="0.25">
      <c r="A186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4" s="37" t="str">
        <f>SUBSTITUTE(SUBSTITUTE(tabSource[[#This Row],[ID]],"&lt;",""),"&gt;","")</f>
        <v>L-63015</v>
      </c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</row>
    <row r="1865" spans="1:20" x14ac:dyDescent="0.25">
      <c r="A186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5" s="37" t="str">
        <f>SUBSTITUTE(SUBSTITUTE(tabSource[[#This Row],[ID]],"&lt;",""),"&gt;","")</f>
        <v>L-63015-V4A</v>
      </c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</row>
    <row r="1866" spans="1:20" x14ac:dyDescent="0.25">
      <c r="A186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6" s="37" t="str">
        <f>SUBSTITUTE(SUBSTITUTE(tabSource[[#This Row],[ID]],"&lt;",""),"&gt;","")</f>
        <v>L-63015-V4A-P</v>
      </c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</row>
    <row r="1867" spans="1:20" x14ac:dyDescent="0.25">
      <c r="A186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7" s="37" t="str">
        <f>SUBSTITUTE(SUBSTITUTE(tabSource[[#This Row],[ID]],"&lt;",""),"&gt;","")</f>
        <v>L-63025</v>
      </c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</row>
    <row r="1868" spans="1:20" x14ac:dyDescent="0.25">
      <c r="A186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8" s="37" t="str">
        <f>SUBSTITUTE(SUBSTITUTE(tabSource[[#This Row],[ID]],"&lt;",""),"&gt;","")</f>
        <v>L-63025-V4A</v>
      </c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</row>
    <row r="1869" spans="1:20" x14ac:dyDescent="0.25">
      <c r="A186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6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69" s="37" t="str">
        <f>SUBSTITUTE(SUBSTITUTE(tabSource[[#This Row],[ID]],"&lt;",""),"&gt;","")</f>
        <v>L-63025-V4A-P</v>
      </c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</row>
    <row r="1870" spans="1:20" x14ac:dyDescent="0.25">
      <c r="A187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0" s="37" t="str">
        <f>SUBSTITUTE(SUBSTITUTE(tabSource[[#This Row],[ID]],"&lt;",""),"&gt;","")</f>
        <v>M10</v>
      </c>
      <c r="D1870"/>
      <c r="E1870"/>
      <c r="F1870"/>
      <c r="G1870"/>
      <c r="I1870"/>
      <c r="J1870"/>
      <c r="K1870"/>
      <c r="L1870"/>
      <c r="M1870"/>
      <c r="O1870"/>
      <c r="Q1870"/>
      <c r="R1870"/>
      <c r="S1870"/>
      <c r="T1870"/>
    </row>
    <row r="1871" spans="1:20" x14ac:dyDescent="0.25">
      <c r="A187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1" s="37" t="str">
        <f>SUBSTITUTE(SUBSTITUTE(tabSource[[#This Row],[ID]],"&lt;",""),"&gt;","")</f>
        <v>M10sx</v>
      </c>
      <c r="D1871"/>
      <c r="E1871"/>
      <c r="F1871"/>
      <c r="G1871"/>
      <c r="I1871"/>
      <c r="J1871"/>
      <c r="K1871"/>
      <c r="L1871"/>
      <c r="M1871"/>
      <c r="O1871"/>
      <c r="Q1871"/>
      <c r="R1871"/>
      <c r="S1871"/>
      <c r="T1871"/>
    </row>
    <row r="1872" spans="1:20" x14ac:dyDescent="0.25">
      <c r="A187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2" s="37" t="str">
        <f>SUBSTITUTE(SUBSTITUTE(tabSource[[#This Row],[ID]],"&lt;",""),"&gt;","")</f>
        <v>M5</v>
      </c>
      <c r="D1872"/>
      <c r="E1872"/>
      <c r="F1872"/>
      <c r="G1872"/>
      <c r="I1872"/>
      <c r="J1872"/>
      <c r="K1872"/>
      <c r="L1872"/>
      <c r="M1872"/>
      <c r="O1872"/>
      <c r="Q1872"/>
      <c r="R1872"/>
      <c r="S1872"/>
      <c r="T1872"/>
    </row>
    <row r="1873" spans="1:20" x14ac:dyDescent="0.25">
      <c r="A187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3" s="37" t="str">
        <f>SUBSTITUTE(SUBSTITUTE(tabSource[[#This Row],[ID]],"&lt;",""),"&gt;","")</f>
        <v>M5sx</v>
      </c>
      <c r="D1873"/>
      <c r="E1873"/>
      <c r="F1873"/>
      <c r="G1873"/>
      <c r="I1873"/>
      <c r="J1873"/>
      <c r="K1873"/>
      <c r="L1873"/>
      <c r="M1873"/>
      <c r="O1873"/>
      <c r="Q1873"/>
      <c r="R1873"/>
      <c r="S1873"/>
      <c r="T1873"/>
    </row>
    <row r="1874" spans="1:20" x14ac:dyDescent="0.25">
      <c r="A187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4" s="37" t="str">
        <f>SUBSTITUTE(SUBSTITUTE(tabSource[[#This Row],[ID]],"&lt;",""),"&gt;","")</f>
        <v>M6</v>
      </c>
      <c r="D1874"/>
      <c r="E1874"/>
      <c r="F1874"/>
      <c r="G1874"/>
      <c r="I1874"/>
      <c r="J1874"/>
      <c r="K1874"/>
      <c r="L1874"/>
      <c r="M1874"/>
      <c r="O1874"/>
      <c r="Q1874"/>
      <c r="R1874"/>
      <c r="S1874"/>
      <c r="T1874"/>
    </row>
    <row r="1875" spans="1:20" x14ac:dyDescent="0.25">
      <c r="A187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5" s="37" t="str">
        <f>SUBSTITUTE(SUBSTITUTE(tabSource[[#This Row],[ID]],"&lt;",""),"&gt;","")</f>
        <v>M6sx</v>
      </c>
      <c r="D1875"/>
      <c r="E1875"/>
      <c r="F1875"/>
      <c r="G1875"/>
      <c r="I1875"/>
      <c r="J1875"/>
      <c r="K1875"/>
      <c r="L1875"/>
      <c r="M1875"/>
      <c r="O1875"/>
      <c r="Q1875"/>
      <c r="R1875"/>
      <c r="S1875"/>
      <c r="T1875"/>
    </row>
    <row r="1876" spans="1:20" x14ac:dyDescent="0.25">
      <c r="A187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6" s="37" t="str">
        <f>SUBSTITUTE(SUBSTITUTE(tabSource[[#This Row],[ID]],"&lt;",""),"&gt;","")</f>
        <v>M8</v>
      </c>
      <c r="D1876"/>
      <c r="E1876"/>
      <c r="F1876"/>
      <c r="G1876"/>
      <c r="I1876"/>
      <c r="J1876"/>
      <c r="K1876"/>
      <c r="L1876"/>
      <c r="M1876"/>
      <c r="O1876"/>
      <c r="Q1876"/>
      <c r="R1876"/>
      <c r="S1876"/>
      <c r="T1876"/>
    </row>
    <row r="1877" spans="1:20" x14ac:dyDescent="0.25">
      <c r="A187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7" s="37" t="str">
        <f>SUBSTITUTE(SUBSTITUTE(tabSource[[#This Row],[ID]],"&lt;",""),"&gt;","")</f>
        <v>M8sx</v>
      </c>
      <c r="D1877"/>
      <c r="E1877"/>
      <c r="F1877"/>
      <c r="G1877"/>
      <c r="I1877"/>
      <c r="J1877"/>
      <c r="K1877"/>
      <c r="L1877"/>
      <c r="M1877"/>
      <c r="O1877"/>
      <c r="Q1877"/>
      <c r="R1877"/>
      <c r="S1877"/>
      <c r="T1877"/>
    </row>
    <row r="1878" spans="1:20" x14ac:dyDescent="0.25">
      <c r="A187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8" s="37" t="str">
        <f>SUBSTITUTE(SUBSTITUTE(tabSource[[#This Row],[ID]],"&lt;",""),"&gt;","")</f>
        <v>Ø10,0</v>
      </c>
      <c r="D1878"/>
      <c r="E1878"/>
      <c r="F1878"/>
      <c r="G1878"/>
      <c r="I1878"/>
      <c r="J1878"/>
      <c r="K1878"/>
      <c r="L1878"/>
      <c r="M1878"/>
      <c r="O1878"/>
      <c r="Q1878"/>
      <c r="R1878"/>
      <c r="S1878"/>
      <c r="T1878"/>
    </row>
    <row r="1879" spans="1:20" x14ac:dyDescent="0.25">
      <c r="A187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7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79" s="37" t="str">
        <f>SUBSTITUTE(SUBSTITUTE(tabSource[[#This Row],[ID]],"&lt;",""),"&gt;","")</f>
        <v>Ø10,2</v>
      </c>
      <c r="D1879"/>
      <c r="E1879"/>
      <c r="F1879"/>
      <c r="G1879"/>
      <c r="I1879"/>
      <c r="J1879"/>
      <c r="K1879"/>
      <c r="L1879"/>
      <c r="M1879"/>
      <c r="O1879"/>
      <c r="Q1879"/>
      <c r="R1879"/>
      <c r="S1879"/>
      <c r="T1879"/>
    </row>
    <row r="1880" spans="1:20" x14ac:dyDescent="0.25">
      <c r="A188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0" s="37" t="str">
        <f>SUBSTITUTE(SUBSTITUTE(tabSource[[#This Row],[ID]],"&lt;",""),"&gt;","")</f>
        <v>Ø10,5</v>
      </c>
      <c r="D1880"/>
      <c r="E1880"/>
      <c r="F1880"/>
      <c r="G1880"/>
      <c r="I1880"/>
      <c r="J1880"/>
      <c r="K1880"/>
      <c r="L1880"/>
      <c r="M1880"/>
      <c r="O1880"/>
      <c r="Q1880"/>
      <c r="R1880"/>
      <c r="S1880"/>
      <c r="T1880"/>
    </row>
    <row r="1881" spans="1:20" x14ac:dyDescent="0.25">
      <c r="A188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1" s="37" t="str">
        <f>SUBSTITUTE(SUBSTITUTE(tabSource[[#This Row],[ID]],"&lt;",""),"&gt;","")</f>
        <v>Ø11,0</v>
      </c>
      <c r="D1881"/>
      <c r="E1881"/>
      <c r="F1881"/>
      <c r="G1881"/>
      <c r="I1881"/>
      <c r="J1881"/>
      <c r="K1881"/>
      <c r="L1881"/>
      <c r="M1881"/>
      <c r="O1881"/>
      <c r="Q1881"/>
      <c r="R1881"/>
      <c r="S1881"/>
      <c r="T1881"/>
    </row>
    <row r="1882" spans="1:20" x14ac:dyDescent="0.25">
      <c r="A188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2" s="37" t="str">
        <f>SUBSTITUTE(SUBSTITUTE(tabSource[[#This Row],[ID]],"&lt;",""),"&gt;","")</f>
        <v>Ø11,5</v>
      </c>
      <c r="D1882"/>
      <c r="E1882"/>
      <c r="F1882"/>
      <c r="G1882"/>
      <c r="I1882"/>
      <c r="J1882"/>
      <c r="K1882"/>
      <c r="L1882"/>
      <c r="M1882"/>
      <c r="O1882"/>
      <c r="Q1882"/>
      <c r="R1882"/>
      <c r="S1882"/>
      <c r="T1882"/>
    </row>
    <row r="1883" spans="1:20" x14ac:dyDescent="0.25">
      <c r="A188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3" s="37" t="str">
        <f>SUBSTITUTE(SUBSTITUTE(tabSource[[#This Row],[ID]],"&lt;",""),"&gt;","")</f>
        <v>Ø12,0</v>
      </c>
      <c r="D1883"/>
      <c r="E1883"/>
      <c r="F1883"/>
      <c r="G1883"/>
      <c r="I1883"/>
      <c r="J1883"/>
      <c r="K1883"/>
      <c r="L1883"/>
      <c r="M1883"/>
      <c r="O1883"/>
      <c r="Q1883"/>
      <c r="R1883"/>
      <c r="S1883"/>
      <c r="T1883"/>
    </row>
    <row r="1884" spans="1:20" x14ac:dyDescent="0.25">
      <c r="A188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4" s="37" t="str">
        <f>SUBSTITUTE(SUBSTITUTE(tabSource[[#This Row],[ID]],"&lt;",""),"&gt;","")</f>
        <v>Ø12,2</v>
      </c>
      <c r="D1884"/>
      <c r="E1884"/>
      <c r="F1884"/>
      <c r="G1884"/>
      <c r="I1884"/>
      <c r="J1884"/>
      <c r="K1884"/>
      <c r="L1884"/>
      <c r="M1884"/>
      <c r="O1884"/>
      <c r="Q1884"/>
      <c r="R1884"/>
      <c r="S1884"/>
      <c r="T1884"/>
    </row>
    <row r="1885" spans="1:20" x14ac:dyDescent="0.25">
      <c r="A188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5" s="37" t="str">
        <f>SUBSTITUTE(SUBSTITUTE(tabSource[[#This Row],[ID]],"&lt;",""),"&gt;","")</f>
        <v>Ø12,5</v>
      </c>
      <c r="D1885"/>
      <c r="E1885"/>
      <c r="F1885"/>
      <c r="G1885"/>
      <c r="I1885"/>
      <c r="J1885"/>
      <c r="K1885"/>
      <c r="L1885"/>
      <c r="M1885"/>
      <c r="O1885"/>
      <c r="Q1885"/>
      <c r="R1885"/>
      <c r="S1885"/>
      <c r="T1885"/>
    </row>
    <row r="1886" spans="1:20" x14ac:dyDescent="0.25">
      <c r="A188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6" s="37" t="str">
        <f>SUBSTITUTE(SUBSTITUTE(tabSource[[#This Row],[ID]],"&lt;",""),"&gt;","")</f>
        <v>Ø13,0</v>
      </c>
      <c r="D1886"/>
      <c r="E1886"/>
      <c r="F1886"/>
      <c r="G1886"/>
      <c r="I1886"/>
      <c r="J1886"/>
      <c r="K1886"/>
      <c r="L1886"/>
      <c r="M1886"/>
      <c r="O1886"/>
      <c r="Q1886"/>
      <c r="R1886"/>
      <c r="S1886"/>
      <c r="T1886"/>
    </row>
    <row r="1887" spans="1:20" x14ac:dyDescent="0.25">
      <c r="A188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7" s="37" t="str">
        <f>SUBSTITUTE(SUBSTITUTE(tabSource[[#This Row],[ID]],"&lt;",""),"&gt;","")</f>
        <v>Ø14,0</v>
      </c>
      <c r="D1887"/>
      <c r="E1887"/>
      <c r="F1887"/>
      <c r="G1887"/>
      <c r="I1887"/>
      <c r="J1887"/>
      <c r="K1887"/>
      <c r="L1887"/>
      <c r="M1887"/>
      <c r="O1887"/>
      <c r="Q1887"/>
      <c r="R1887"/>
      <c r="S1887"/>
      <c r="T1887"/>
    </row>
    <row r="1888" spans="1:20" x14ac:dyDescent="0.25">
      <c r="A188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8" s="37" t="str">
        <f>SUBSTITUTE(SUBSTITUTE(tabSource[[#This Row],[ID]],"&lt;",""),"&gt;","")</f>
        <v>Ø14,2</v>
      </c>
      <c r="D1888"/>
      <c r="E1888"/>
      <c r="F1888"/>
      <c r="G1888"/>
      <c r="I1888"/>
      <c r="J1888"/>
      <c r="K1888"/>
      <c r="L1888"/>
      <c r="M1888"/>
      <c r="O1888"/>
      <c r="Q1888"/>
      <c r="R1888"/>
      <c r="S1888"/>
      <c r="T1888"/>
    </row>
    <row r="1889" spans="1:20" x14ac:dyDescent="0.25">
      <c r="A188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8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89" s="37" t="str">
        <f>SUBSTITUTE(SUBSTITUTE(tabSource[[#This Row],[ID]],"&lt;",""),"&gt;","")</f>
        <v>Ø14,5</v>
      </c>
      <c r="D1889"/>
      <c r="E1889"/>
      <c r="F1889"/>
      <c r="G1889"/>
      <c r="I1889"/>
      <c r="J1889"/>
      <c r="K1889"/>
      <c r="L1889"/>
      <c r="M1889"/>
      <c r="O1889"/>
      <c r="Q1889"/>
      <c r="R1889"/>
      <c r="S1889"/>
      <c r="T1889"/>
    </row>
    <row r="1890" spans="1:20" x14ac:dyDescent="0.25">
      <c r="A189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0" s="37" t="str">
        <f>SUBSTITUTE(SUBSTITUTE(tabSource[[#This Row],[ID]],"&lt;",""),"&gt;","")</f>
        <v>Ø15,0</v>
      </c>
      <c r="D1890"/>
      <c r="E1890"/>
      <c r="F1890"/>
      <c r="G1890"/>
      <c r="I1890"/>
      <c r="J1890"/>
      <c r="K1890"/>
      <c r="L1890"/>
      <c r="M1890"/>
      <c r="O1890"/>
      <c r="Q1890"/>
      <c r="R1890"/>
      <c r="S1890"/>
      <c r="T1890"/>
    </row>
    <row r="1891" spans="1:20" x14ac:dyDescent="0.25">
      <c r="A189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1" s="37" t="str">
        <f>SUBSTITUTE(SUBSTITUTE(tabSource[[#This Row],[ID]],"&lt;",""),"&gt;","")</f>
        <v>Ø16,0</v>
      </c>
      <c r="D1891"/>
      <c r="E1891"/>
      <c r="F1891"/>
      <c r="G1891"/>
      <c r="I1891"/>
      <c r="J1891"/>
      <c r="K1891"/>
      <c r="L1891"/>
      <c r="M1891"/>
      <c r="O1891"/>
      <c r="Q1891"/>
      <c r="R1891"/>
      <c r="S1891"/>
      <c r="T1891"/>
    </row>
    <row r="1892" spans="1:20" x14ac:dyDescent="0.25">
      <c r="A189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2" s="37" t="str">
        <f>SUBSTITUTE(SUBSTITUTE(tabSource[[#This Row],[ID]],"&lt;",""),"&gt;","")</f>
        <v>Ø16,5</v>
      </c>
      <c r="D1892"/>
      <c r="E1892"/>
      <c r="F1892"/>
      <c r="G1892"/>
      <c r="I1892"/>
      <c r="J1892"/>
      <c r="K1892"/>
      <c r="L1892"/>
      <c r="M1892"/>
      <c r="O1892"/>
      <c r="Q1892"/>
      <c r="R1892"/>
      <c r="S1892"/>
      <c r="T1892"/>
    </row>
    <row r="1893" spans="1:20" x14ac:dyDescent="0.25">
      <c r="A189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3" s="37" t="str">
        <f>SUBSTITUTE(SUBSTITUTE(tabSource[[#This Row],[ID]],"&lt;",""),"&gt;","")</f>
        <v>Ø20,0</v>
      </c>
      <c r="D1893"/>
      <c r="E1893"/>
      <c r="F1893"/>
      <c r="G1893"/>
      <c r="I1893"/>
      <c r="J1893"/>
      <c r="K1893"/>
      <c r="L1893"/>
      <c r="M1893"/>
      <c r="O1893"/>
      <c r="Q1893"/>
      <c r="R1893"/>
      <c r="S1893"/>
      <c r="T1893"/>
    </row>
    <row r="1894" spans="1:20" x14ac:dyDescent="0.25">
      <c r="A189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4" s="37" t="str">
        <f>SUBSTITUTE(SUBSTITUTE(tabSource[[#This Row],[ID]],"&lt;",""),"&gt;","")</f>
        <v>Ø5,0</v>
      </c>
      <c r="D1894"/>
      <c r="E1894"/>
      <c r="F1894"/>
      <c r="G1894"/>
      <c r="I1894"/>
      <c r="J1894"/>
      <c r="K1894"/>
      <c r="L1894"/>
      <c r="M1894"/>
      <c r="O1894"/>
      <c r="Q1894"/>
      <c r="R1894"/>
      <c r="S1894"/>
      <c r="T1894"/>
    </row>
    <row r="1895" spans="1:20" x14ac:dyDescent="0.25">
      <c r="A189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5" s="37" t="str">
        <f>SUBSTITUTE(SUBSTITUTE(tabSource[[#This Row],[ID]],"&lt;",""),"&gt;","")</f>
        <v>Ø5,5</v>
      </c>
      <c r="D1895"/>
      <c r="E1895"/>
      <c r="F1895"/>
      <c r="G1895"/>
      <c r="I1895"/>
      <c r="J1895"/>
      <c r="K1895"/>
      <c r="L1895"/>
      <c r="M1895"/>
      <c r="O1895"/>
      <c r="Q1895"/>
      <c r="R1895"/>
      <c r="S1895"/>
      <c r="T1895"/>
    </row>
    <row r="1896" spans="1:20" x14ac:dyDescent="0.25">
      <c r="A189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6" s="37" t="str">
        <f>SUBSTITUTE(SUBSTITUTE(tabSource[[#This Row],[ID]],"&lt;",""),"&gt;","")</f>
        <v>Ø6,0</v>
      </c>
      <c r="D1896"/>
      <c r="E1896"/>
      <c r="F1896"/>
      <c r="G1896"/>
      <c r="I1896"/>
      <c r="J1896"/>
      <c r="K1896"/>
      <c r="L1896"/>
      <c r="M1896"/>
      <c r="O1896"/>
      <c r="Q1896"/>
      <c r="R1896"/>
      <c r="S1896"/>
      <c r="T1896"/>
    </row>
    <row r="1897" spans="1:20" x14ac:dyDescent="0.25">
      <c r="A189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7" s="37" t="str">
        <f>SUBSTITUTE(SUBSTITUTE(tabSource[[#This Row],[ID]],"&lt;",""),"&gt;","")</f>
        <v>Ø6,5</v>
      </c>
      <c r="D1897"/>
      <c r="E1897"/>
      <c r="F1897"/>
      <c r="G1897"/>
      <c r="I1897"/>
      <c r="J1897"/>
      <c r="K1897"/>
      <c r="L1897"/>
      <c r="M1897"/>
      <c r="O1897"/>
      <c r="Q1897"/>
      <c r="R1897"/>
      <c r="S1897"/>
      <c r="T1897"/>
    </row>
    <row r="1898" spans="1:20" x14ac:dyDescent="0.25">
      <c r="A189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8" s="37" t="str">
        <f>SUBSTITUTE(SUBSTITUTE(tabSource[[#This Row],[ID]],"&lt;",""),"&gt;","")</f>
        <v>Ø7,0</v>
      </c>
      <c r="D1898"/>
      <c r="E1898"/>
      <c r="F1898"/>
      <c r="G1898"/>
      <c r="I1898"/>
      <c r="J1898"/>
      <c r="K1898"/>
      <c r="L1898"/>
      <c r="M1898"/>
      <c r="O1898"/>
      <c r="Q1898"/>
      <c r="R1898"/>
      <c r="S1898"/>
      <c r="T1898"/>
    </row>
    <row r="1899" spans="1:20" x14ac:dyDescent="0.25">
      <c r="A189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89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899" s="37" t="str">
        <f>SUBSTITUTE(SUBSTITUTE(tabSource[[#This Row],[ID]],"&lt;",""),"&gt;","")</f>
        <v>Ø7,5</v>
      </c>
      <c r="D1899"/>
      <c r="E1899"/>
      <c r="F1899"/>
      <c r="G1899"/>
      <c r="I1899"/>
      <c r="J1899"/>
      <c r="K1899"/>
      <c r="L1899"/>
      <c r="M1899"/>
      <c r="O1899"/>
      <c r="Q1899"/>
      <c r="R1899"/>
      <c r="S1899"/>
      <c r="T1899"/>
    </row>
    <row r="1900" spans="1:20" x14ac:dyDescent="0.25">
      <c r="A190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0" s="37" t="str">
        <f>SUBSTITUTE(SUBSTITUTE(tabSource[[#This Row],[ID]],"&lt;",""),"&gt;","")</f>
        <v>Ø8,0</v>
      </c>
      <c r="D1900"/>
      <c r="E1900"/>
      <c r="F1900"/>
      <c r="G1900"/>
      <c r="I1900"/>
      <c r="J1900"/>
      <c r="K1900"/>
      <c r="L1900"/>
      <c r="M1900"/>
      <c r="O1900"/>
      <c r="Q1900"/>
      <c r="R1900"/>
      <c r="S1900"/>
      <c r="T1900"/>
    </row>
    <row r="1901" spans="1:20" x14ac:dyDescent="0.25">
      <c r="A190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1" s="37" t="str">
        <f>SUBSTITUTE(SUBSTITUTE(tabSource[[#This Row],[ID]],"&lt;",""),"&gt;","")</f>
        <v>Ø8,5</v>
      </c>
      <c r="D1901"/>
      <c r="E1901"/>
      <c r="F1901"/>
      <c r="G1901"/>
      <c r="I1901"/>
      <c r="J1901"/>
      <c r="K1901"/>
      <c r="L1901"/>
      <c r="M1901"/>
      <c r="O1901"/>
      <c r="Q1901"/>
      <c r="R1901"/>
      <c r="S1901"/>
      <c r="T1901"/>
    </row>
    <row r="1902" spans="1:20" x14ac:dyDescent="0.25">
      <c r="A190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2" s="37" t="str">
        <f>SUBSTITUTE(SUBSTITUTE(tabSource[[#This Row],[ID]],"&lt;",""),"&gt;","")</f>
        <v>Ø9,0</v>
      </c>
      <c r="D1902"/>
      <c r="E1902"/>
      <c r="F1902"/>
      <c r="G1902"/>
      <c r="I1902"/>
      <c r="J1902"/>
      <c r="K1902"/>
      <c r="L1902"/>
      <c r="M1902"/>
      <c r="O1902"/>
      <c r="Q1902"/>
      <c r="R1902"/>
      <c r="S1902"/>
      <c r="T1902"/>
    </row>
    <row r="1903" spans="1:20" x14ac:dyDescent="0.25">
      <c r="A190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3" s="37" t="str">
        <f>SUBSTITUTE(SUBSTITUTE(tabSource[[#This Row],[ID]],"&lt;",""),"&gt;","")</f>
        <v>Ø9,5</v>
      </c>
      <c r="D1903"/>
      <c r="E1903"/>
      <c r="F1903"/>
      <c r="G1903"/>
      <c r="I1903"/>
      <c r="J1903"/>
      <c r="K1903"/>
      <c r="L1903"/>
      <c r="M1903"/>
      <c r="O1903"/>
      <c r="Q1903"/>
      <c r="R1903"/>
      <c r="S1903"/>
      <c r="T1903"/>
    </row>
    <row r="1904" spans="1:20" x14ac:dyDescent="0.25">
      <c r="A190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4" s="37" t="str">
        <f>SUBSTITUTE(SUBSTITUTE(tabSource[[#This Row],[ID]],"&lt;",""),"&gt;","")</f>
        <v>R5570005</v>
      </c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</row>
    <row r="1905" spans="1:20" x14ac:dyDescent="0.25">
      <c r="A190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5" s="37" t="str">
        <f>SUBSTITUTE(SUBSTITUTE(tabSource[[#This Row],[ID]],"&lt;",""),"&gt;","")</f>
        <v>R5570006</v>
      </c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</row>
    <row r="1906" spans="1:20" x14ac:dyDescent="0.25">
      <c r="A190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6" s="37" t="str">
        <f>SUBSTITUTE(SUBSTITUTE(tabSource[[#This Row],[ID]],"&lt;",""),"&gt;","")</f>
        <v>R5570008</v>
      </c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</row>
    <row r="1907" spans="1:20" x14ac:dyDescent="0.25">
      <c r="A190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7" s="37" t="str">
        <f>SUBSTITUTE(SUBSTITUTE(tabSource[[#This Row],[ID]],"&lt;",""),"&gt;","")</f>
        <v>R5580005</v>
      </c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</row>
    <row r="1908" spans="1:20" x14ac:dyDescent="0.25">
      <c r="A190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8" s="37" t="str">
        <f>SUBSTITUTE(SUBSTITUTE(tabSource[[#This Row],[ID]],"&lt;",""),"&gt;","")</f>
        <v>R5580006</v>
      </c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</row>
    <row r="1909" spans="1:20" x14ac:dyDescent="0.25">
      <c r="A190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0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09" s="37" t="str">
        <f>SUBSTITUTE(SUBSTITUTE(tabSource[[#This Row],[ID]],"&lt;",""),"&gt;","")</f>
        <v>R5580008</v>
      </c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</row>
    <row r="1910" spans="1:20" x14ac:dyDescent="0.25">
      <c r="A191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0" s="37" t="str">
        <f>SUBSTITUTE(SUBSTITUTE(tabSource[[#This Row],[ID]],"&lt;",""),"&gt;","")</f>
        <v>R72406</v>
      </c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</row>
    <row r="1911" spans="1:20" x14ac:dyDescent="0.25">
      <c r="A191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1" s="37" t="str">
        <f>SUBSTITUTE(SUBSTITUTE(tabSource[[#This Row],[ID]],"&lt;",""),"&gt;","")</f>
        <v>R72408</v>
      </c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</row>
    <row r="1912" spans="1:20" x14ac:dyDescent="0.25">
      <c r="A1912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2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2" s="37" t="str">
        <f>SUBSTITUTE(SUBSTITUTE(tabSource[[#This Row],[ID]],"&lt;",""),"&gt;","")</f>
        <v>R72506</v>
      </c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</row>
    <row r="1913" spans="1:20" x14ac:dyDescent="0.25">
      <c r="A1913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3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3" s="37" t="str">
        <f>SUBSTITUTE(SUBSTITUTE(tabSource[[#This Row],[ID]],"&lt;",""),"&gt;","")</f>
        <v>R72508</v>
      </c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</row>
    <row r="1914" spans="1:20" x14ac:dyDescent="0.25">
      <c r="A1914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4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4" s="37" t="str">
        <f>SUBSTITUTE(SUBSTITUTE(tabSource[[#This Row],[ID]],"&lt;",""),"&gt;","")</f>
        <v>R72606</v>
      </c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</row>
    <row r="1915" spans="1:20" x14ac:dyDescent="0.25">
      <c r="A1915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5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5" s="37" t="str">
        <f>SUBSTITUTE(SUBSTITUTE(tabSource[[#This Row],[ID]],"&lt;",""),"&gt;","")</f>
        <v>R72608</v>
      </c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</row>
    <row r="1916" spans="1:20" x14ac:dyDescent="0.25">
      <c r="A1916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6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6" s="37" t="str">
        <f>SUBSTITUTE(SUBSTITUTE(tabSource[[#This Row],[ID]],"&lt;",""),"&gt;","")</f>
        <v>R72706</v>
      </c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</row>
    <row r="1917" spans="1:20" x14ac:dyDescent="0.25">
      <c r="A1917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7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7" s="37" t="str">
        <f>SUBSTITUTE(SUBSTITUTE(tabSource[[#This Row],[ID]],"&lt;",""),"&gt;","")</f>
        <v>R72708</v>
      </c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</row>
    <row r="1918" spans="1:20" x14ac:dyDescent="0.25">
      <c r="A1918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8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8" s="37" t="str">
        <f>SUBSTITUTE(SUBSTITUTE(tabSource[[#This Row],[ID]],"&lt;",""),"&gt;","")</f>
        <v>R72806</v>
      </c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</row>
    <row r="1919" spans="1:20" x14ac:dyDescent="0.25">
      <c r="A1919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19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19" s="37" t="str">
        <f>SUBSTITUTE(SUBSTITUTE(tabSource[[#This Row],[ID]],"&lt;",""),"&gt;","")</f>
        <v>R72808</v>
      </c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</row>
    <row r="1920" spans="1:20" x14ac:dyDescent="0.25">
      <c r="A1920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20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20" s="37" t="str">
        <f>SUBSTITUTE(SUBSTITUTE(tabSource[[#This Row],[ID]],"&lt;",""),"&gt;","")</f>
        <v>R72906</v>
      </c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</row>
    <row r="1921" spans="1:20" x14ac:dyDescent="0.25">
      <c r="A1921" s="37">
        <f>SIGN(IFERROR((tabSource[[#This Row],[Typ]]="Pfosten")*SEARCH(Steher.Durchmesser,tabSource[[#This Row],[Durchmesser Rohr]])*SEARCH(Steher.Stärke,tabSource[[#This Row],[Stärke]])*SEARCH(Eingabe.Material,tabSource[[#This Row],[Material]])*SEARCH(Steher.Oberfläche,tabSource[[#This Row],[Oberfläche]]),0))*(ROW()-ROW(tabSource[#Headers]))</f>
        <v>0</v>
      </c>
      <c r="B1921" s="37">
        <f>SIGN(IFERROR((tabSource[[#This Row],[Typ]]&lt;&gt;"Pfosten")*SEARCH(IF(tabSource[[#This Row],[Durchmesser Rohr]]="[/]","[/]",Steher.Durchmesser),SUBSTITUTE(tabSource[[#This Row],[Durchmesser Rohr]],"?",Steher.Durchmesser))*SEARCH(Steher.Stärke,SUBSTITUTE(tabSource[[#This Row],[Stärke]],"?",Steher.Stärke))*SEARCH(Eingabe.Material,tabSource[[#This Row],[Material]])*SEARCH(Steher.Oberfläche,tabSource[[#This Row],[Oberfläche]]),0))*(ROW()-ROW(tabSource[#Headers]))</f>
        <v>0</v>
      </c>
      <c r="C1921" s="37" t="str">
        <f>SUBSTITUTE(SUBSTITUTE(tabSource[[#This Row],[ID]],"&lt;",""),"&gt;","")</f>
        <v>R72908</v>
      </c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</row>
    <row r="1922" spans="1:20" x14ac:dyDescent="0.25">
      <c r="A1922" s="37"/>
      <c r="B1922" s="37"/>
      <c r="C1922" s="37"/>
    </row>
    <row r="1923" spans="1:20" x14ac:dyDescent="0.25">
      <c r="A1923" s="37"/>
      <c r="B1923" s="37"/>
      <c r="C1923" s="37"/>
    </row>
    <row r="1924" spans="1:20" x14ac:dyDescent="0.25">
      <c r="A1924" s="37"/>
      <c r="B1924" s="37"/>
      <c r="C1924" s="37"/>
    </row>
    <row r="1925" spans="1:20" x14ac:dyDescent="0.25">
      <c r="A1925" s="37"/>
      <c r="B1925" s="37"/>
      <c r="C1925" s="37"/>
    </row>
    <row r="1926" spans="1:20" x14ac:dyDescent="0.25">
      <c r="A1926" s="37"/>
      <c r="B1926" s="37"/>
      <c r="C1926" s="37"/>
    </row>
    <row r="1927" spans="1:20" x14ac:dyDescent="0.25">
      <c r="A1927" s="37"/>
      <c r="B1927" s="37"/>
      <c r="C1927" s="37"/>
    </row>
    <row r="1928" spans="1:20" x14ac:dyDescent="0.25">
      <c r="A1928" s="37"/>
      <c r="B1928" s="37"/>
      <c r="C1928" s="37"/>
    </row>
    <row r="1929" spans="1:20" x14ac:dyDescent="0.25">
      <c r="A1929" s="37"/>
      <c r="B1929" s="37"/>
      <c r="C1929" s="37"/>
    </row>
    <row r="1930" spans="1:20" x14ac:dyDescent="0.25">
      <c r="A1930" s="37"/>
      <c r="B1930" s="37"/>
      <c r="C1930" s="37"/>
    </row>
    <row r="1931" spans="1:20" x14ac:dyDescent="0.25">
      <c r="A1931" s="37"/>
      <c r="B1931" s="37"/>
      <c r="C1931" s="37"/>
    </row>
    <row r="1932" spans="1:20" x14ac:dyDescent="0.25">
      <c r="A1932" s="37"/>
      <c r="B1932" s="37"/>
      <c r="C1932" s="37"/>
    </row>
    <row r="1933" spans="1:20" x14ac:dyDescent="0.25">
      <c r="A1933" s="37"/>
      <c r="B1933" s="37"/>
      <c r="C1933" s="37"/>
    </row>
    <row r="1934" spans="1:20" x14ac:dyDescent="0.25">
      <c r="A1934" s="37"/>
      <c r="B1934" s="37"/>
      <c r="C1934" s="37"/>
    </row>
    <row r="1935" spans="1:20" x14ac:dyDescent="0.25">
      <c r="A1935" s="37"/>
      <c r="B1935" s="37"/>
      <c r="C1935" s="37"/>
    </row>
    <row r="1936" spans="1:20" x14ac:dyDescent="0.25">
      <c r="A1936" s="37"/>
      <c r="B1936" s="37"/>
      <c r="C1936" s="37"/>
    </row>
    <row r="1937" spans="1:3" x14ac:dyDescent="0.25">
      <c r="A1937" s="37"/>
      <c r="B1937" s="37"/>
      <c r="C1937" s="37"/>
    </row>
    <row r="1938" spans="1:3" x14ac:dyDescent="0.25">
      <c r="A1938" s="37"/>
      <c r="B1938" s="37"/>
      <c r="C1938" s="37"/>
    </row>
    <row r="1939" spans="1:3" x14ac:dyDescent="0.25">
      <c r="A1939" s="37"/>
      <c r="B1939" s="37"/>
      <c r="C1939" s="37"/>
    </row>
    <row r="1940" spans="1:3" x14ac:dyDescent="0.25">
      <c r="A1940" s="37"/>
      <c r="B1940" s="37"/>
      <c r="C1940" s="37"/>
    </row>
    <row r="1941" spans="1:3" x14ac:dyDescent="0.25">
      <c r="A1941" s="37"/>
      <c r="B1941" s="37"/>
      <c r="C1941" s="37"/>
    </row>
    <row r="1942" spans="1:3" x14ac:dyDescent="0.25">
      <c r="A1942" s="37"/>
      <c r="B1942" s="37"/>
      <c r="C1942" s="37"/>
    </row>
    <row r="1943" spans="1:3" x14ac:dyDescent="0.25">
      <c r="A1943" s="37"/>
      <c r="B1943" s="37"/>
      <c r="C1943" s="37"/>
    </row>
    <row r="1944" spans="1:3" x14ac:dyDescent="0.25">
      <c r="A1944" s="37"/>
      <c r="B1944" s="37"/>
      <c r="C1944" s="37"/>
    </row>
    <row r="1945" spans="1:3" x14ac:dyDescent="0.25">
      <c r="A1945" s="37"/>
      <c r="B1945" s="37"/>
      <c r="C1945" s="37"/>
    </row>
    <row r="1946" spans="1:3" x14ac:dyDescent="0.25">
      <c r="A1946" s="37"/>
      <c r="B1946" s="37"/>
      <c r="C1946" s="37"/>
    </row>
    <row r="1947" spans="1:3" x14ac:dyDescent="0.25">
      <c r="A1947" s="37"/>
      <c r="B1947" s="37"/>
      <c r="C1947" s="37"/>
    </row>
    <row r="1948" spans="1:3" x14ac:dyDescent="0.25">
      <c r="A1948" s="37"/>
      <c r="B1948" s="37"/>
      <c r="C1948" s="37"/>
    </row>
    <row r="1949" spans="1:3" x14ac:dyDescent="0.25">
      <c r="A1949" s="37"/>
      <c r="B1949" s="37"/>
      <c r="C1949" s="37"/>
    </row>
    <row r="1950" spans="1:3" x14ac:dyDescent="0.25">
      <c r="A1950" s="37"/>
      <c r="B1950" s="37"/>
      <c r="C1950" s="37"/>
    </row>
    <row r="1951" spans="1:3" x14ac:dyDescent="0.25">
      <c r="A1951" s="37"/>
      <c r="B1951" s="37"/>
      <c r="C1951" s="37"/>
    </row>
    <row r="1952" spans="1:3" x14ac:dyDescent="0.25">
      <c r="A1952" s="37"/>
      <c r="B1952" s="37"/>
      <c r="C1952" s="37"/>
    </row>
    <row r="1953" spans="1:3" x14ac:dyDescent="0.25">
      <c r="A1953" s="37"/>
      <c r="B1953" s="37"/>
      <c r="C1953" s="37"/>
    </row>
    <row r="1954" spans="1:3" x14ac:dyDescent="0.25">
      <c r="A1954" s="37"/>
      <c r="B1954" s="37"/>
      <c r="C1954" s="37"/>
    </row>
    <row r="1955" spans="1:3" x14ac:dyDescent="0.25">
      <c r="A1955" s="37"/>
      <c r="B1955" s="37"/>
      <c r="C1955" s="37"/>
    </row>
    <row r="1956" spans="1:3" x14ac:dyDescent="0.25">
      <c r="A1956" s="37"/>
      <c r="B1956" s="37"/>
      <c r="C1956" s="37"/>
    </row>
    <row r="1957" spans="1:3" x14ac:dyDescent="0.25">
      <c r="A1957" s="37"/>
      <c r="B1957" s="37"/>
      <c r="C1957" s="37"/>
    </row>
    <row r="1958" spans="1:3" x14ac:dyDescent="0.25">
      <c r="A1958" s="37"/>
      <c r="B1958" s="37"/>
      <c r="C1958" s="37"/>
    </row>
    <row r="1959" spans="1:3" x14ac:dyDescent="0.25">
      <c r="A1959" s="37"/>
      <c r="B1959" s="37"/>
      <c r="C1959" s="37"/>
    </row>
    <row r="1960" spans="1:3" x14ac:dyDescent="0.25">
      <c r="A1960" s="37"/>
      <c r="B1960" s="37"/>
      <c r="C1960" s="37"/>
    </row>
    <row r="1961" spans="1:3" x14ac:dyDescent="0.25">
      <c r="A1961" s="37"/>
      <c r="B1961" s="37"/>
      <c r="C1961" s="37"/>
    </row>
    <row r="1962" spans="1:3" x14ac:dyDescent="0.25">
      <c r="A1962" s="37"/>
      <c r="B1962" s="37"/>
      <c r="C1962" s="37"/>
    </row>
    <row r="1963" spans="1:3" x14ac:dyDescent="0.25">
      <c r="A1963" s="37"/>
      <c r="B1963" s="37"/>
      <c r="C1963" s="37"/>
    </row>
    <row r="1964" spans="1:3" x14ac:dyDescent="0.25">
      <c r="A1964" s="37"/>
      <c r="B1964" s="37"/>
      <c r="C1964" s="37"/>
    </row>
    <row r="1965" spans="1:3" x14ac:dyDescent="0.25">
      <c r="A1965" s="37"/>
      <c r="B1965" s="37"/>
      <c r="C1965" s="37"/>
    </row>
    <row r="1966" spans="1:3" x14ac:dyDescent="0.25">
      <c r="A1966" s="37"/>
      <c r="B1966" s="37"/>
      <c r="C1966" s="37"/>
    </row>
    <row r="1967" spans="1:3" x14ac:dyDescent="0.25">
      <c r="A1967" s="37"/>
      <c r="B1967" s="37"/>
      <c r="C1967" s="37"/>
    </row>
    <row r="1968" spans="1:3" x14ac:dyDescent="0.25">
      <c r="A1968" s="37"/>
      <c r="B1968" s="37"/>
      <c r="C1968" s="37"/>
    </row>
    <row r="1969" spans="1:3" x14ac:dyDescent="0.25">
      <c r="A1969" s="37"/>
      <c r="B1969" s="37"/>
      <c r="C1969" s="37"/>
    </row>
    <row r="1970" spans="1:3" x14ac:dyDescent="0.25">
      <c r="A1970" s="37"/>
      <c r="B1970" s="37"/>
      <c r="C1970" s="37"/>
    </row>
    <row r="1971" spans="1:3" x14ac:dyDescent="0.25">
      <c r="A1971" s="37"/>
      <c r="B1971" s="37"/>
      <c r="C1971" s="37"/>
    </row>
    <row r="1972" spans="1:3" x14ac:dyDescent="0.25">
      <c r="A1972" s="37"/>
      <c r="B1972" s="37"/>
      <c r="C1972" s="37"/>
    </row>
    <row r="1973" spans="1:3" x14ac:dyDescent="0.25">
      <c r="A1973" s="37"/>
      <c r="B1973" s="37"/>
      <c r="C1973" s="37"/>
    </row>
    <row r="1974" spans="1:3" x14ac:dyDescent="0.25">
      <c r="A1974" s="37"/>
      <c r="B1974" s="37"/>
      <c r="C1974" s="37"/>
    </row>
    <row r="1975" spans="1:3" x14ac:dyDescent="0.25">
      <c r="A1975" s="37"/>
      <c r="B1975" s="37"/>
      <c r="C1975" s="37"/>
    </row>
    <row r="1976" spans="1:3" x14ac:dyDescent="0.25">
      <c r="A1976" s="37"/>
      <c r="B1976" s="37"/>
      <c r="C1976" s="37"/>
    </row>
    <row r="1977" spans="1:3" x14ac:dyDescent="0.25">
      <c r="A1977" s="37"/>
      <c r="B1977" s="37"/>
      <c r="C1977" s="37"/>
    </row>
    <row r="1978" spans="1:3" x14ac:dyDescent="0.25">
      <c r="A1978" s="37"/>
      <c r="B1978" s="37"/>
      <c r="C1978" s="37"/>
    </row>
    <row r="1979" spans="1:3" x14ac:dyDescent="0.25">
      <c r="A1979" s="37"/>
      <c r="B1979" s="37"/>
      <c r="C1979" s="37"/>
    </row>
    <row r="1980" spans="1:3" x14ac:dyDescent="0.25">
      <c r="A1980" s="37"/>
      <c r="B1980" s="37"/>
      <c r="C1980" s="37"/>
    </row>
    <row r="1981" spans="1:3" x14ac:dyDescent="0.25">
      <c r="A1981" s="37"/>
      <c r="B1981" s="37"/>
      <c r="C1981" s="37"/>
    </row>
    <row r="1982" spans="1:3" x14ac:dyDescent="0.25">
      <c r="A1982" s="37"/>
      <c r="B1982" s="37"/>
      <c r="C1982" s="37"/>
    </row>
    <row r="1983" spans="1:3" x14ac:dyDescent="0.25">
      <c r="A1983" s="37"/>
      <c r="B1983" s="37"/>
      <c r="C1983" s="37"/>
    </row>
    <row r="1984" spans="1:3" x14ac:dyDescent="0.25">
      <c r="A1984" s="37"/>
      <c r="B1984" s="37"/>
      <c r="C1984" s="37"/>
    </row>
    <row r="1985" spans="1:3" x14ac:dyDescent="0.25">
      <c r="A1985" s="37"/>
      <c r="B1985" s="37"/>
      <c r="C1985" s="37"/>
    </row>
    <row r="1986" spans="1:3" x14ac:dyDescent="0.25">
      <c r="A1986" s="37"/>
      <c r="B1986" s="37"/>
      <c r="C1986" s="37"/>
    </row>
    <row r="1987" spans="1:3" x14ac:dyDescent="0.25">
      <c r="A1987" s="37"/>
      <c r="B1987" s="37"/>
      <c r="C1987" s="37"/>
    </row>
    <row r="1988" spans="1:3" x14ac:dyDescent="0.25">
      <c r="A1988" s="37"/>
      <c r="B1988" s="37"/>
      <c r="C1988" s="37"/>
    </row>
    <row r="1989" spans="1:3" x14ac:dyDescent="0.25">
      <c r="A1989" s="37"/>
      <c r="B1989" s="37"/>
      <c r="C1989" s="37"/>
    </row>
    <row r="1990" spans="1:3" x14ac:dyDescent="0.25">
      <c r="A1990" s="37"/>
      <c r="B1990" s="37"/>
      <c r="C1990" s="37"/>
    </row>
    <row r="1991" spans="1:3" x14ac:dyDescent="0.25">
      <c r="A1991" s="37"/>
      <c r="B1991" s="37"/>
      <c r="C1991" s="37"/>
    </row>
    <row r="1992" spans="1:3" x14ac:dyDescent="0.25">
      <c r="A1992" s="37"/>
      <c r="B1992" s="37"/>
      <c r="C1992" s="37"/>
    </row>
    <row r="1993" spans="1:3" x14ac:dyDescent="0.25">
      <c r="A1993" s="37"/>
      <c r="B1993" s="37"/>
      <c r="C1993" s="37"/>
    </row>
    <row r="1994" spans="1:3" x14ac:dyDescent="0.25">
      <c r="A1994" s="37"/>
      <c r="B1994" s="37"/>
      <c r="C1994" s="37"/>
    </row>
    <row r="1995" spans="1:3" x14ac:dyDescent="0.25">
      <c r="A1995" s="37"/>
      <c r="B1995" s="37"/>
      <c r="C1995" s="37"/>
    </row>
    <row r="1996" spans="1:3" x14ac:dyDescent="0.25">
      <c r="A1996" s="37"/>
      <c r="B1996" s="37"/>
      <c r="C1996" s="37"/>
    </row>
    <row r="1997" spans="1:3" x14ac:dyDescent="0.25">
      <c r="A1997" s="37"/>
      <c r="B1997" s="37"/>
      <c r="C1997" s="37"/>
    </row>
    <row r="1998" spans="1:3" x14ac:dyDescent="0.25">
      <c r="A1998" s="37"/>
      <c r="B1998" s="37"/>
      <c r="C1998" s="37"/>
    </row>
    <row r="1999" spans="1:3" x14ac:dyDescent="0.25">
      <c r="A1999" s="37"/>
      <c r="B1999" s="37"/>
      <c r="C1999" s="37"/>
    </row>
    <row r="2000" spans="1:3" x14ac:dyDescent="0.25">
      <c r="A2000" s="37"/>
      <c r="B2000" s="37"/>
      <c r="C2000" s="37"/>
    </row>
    <row r="2001" spans="1:3" x14ac:dyDescent="0.25">
      <c r="A2001" s="37"/>
      <c r="B2001" s="37"/>
      <c r="C2001" s="37"/>
    </row>
    <row r="2002" spans="1:3" x14ac:dyDescent="0.25">
      <c r="A2002" s="37"/>
      <c r="B2002" s="37"/>
      <c r="C2002" s="37"/>
    </row>
    <row r="2003" spans="1:3" x14ac:dyDescent="0.25">
      <c r="A2003" s="37"/>
      <c r="B2003" s="37"/>
      <c r="C2003" s="37"/>
    </row>
    <row r="2004" spans="1:3" x14ac:dyDescent="0.25">
      <c r="A2004" s="37"/>
      <c r="B2004" s="37"/>
      <c r="C2004" s="37"/>
    </row>
    <row r="2005" spans="1:3" x14ac:dyDescent="0.25">
      <c r="A2005" s="37"/>
      <c r="B2005" s="37"/>
      <c r="C2005" s="37"/>
    </row>
    <row r="2006" spans="1:3" x14ac:dyDescent="0.25">
      <c r="A2006" s="37"/>
      <c r="B2006" s="37"/>
      <c r="C2006" s="37"/>
    </row>
    <row r="2007" spans="1:3" x14ac:dyDescent="0.25">
      <c r="A2007" s="37"/>
      <c r="B2007" s="37"/>
      <c r="C2007" s="37"/>
    </row>
    <row r="2008" spans="1:3" x14ac:dyDescent="0.25">
      <c r="A2008" s="37"/>
      <c r="B2008" s="37"/>
      <c r="C2008" s="37"/>
    </row>
    <row r="2009" spans="1:3" x14ac:dyDescent="0.25">
      <c r="A2009" s="37"/>
      <c r="B2009" s="37"/>
      <c r="C2009" s="37"/>
    </row>
    <row r="2010" spans="1:3" x14ac:dyDescent="0.25">
      <c r="A2010" s="37"/>
      <c r="B2010" s="37"/>
      <c r="C2010" s="37"/>
    </row>
    <row r="2011" spans="1:3" x14ac:dyDescent="0.25">
      <c r="A2011" s="37"/>
      <c r="B2011" s="37"/>
      <c r="C2011" s="37"/>
    </row>
    <row r="2012" spans="1:3" x14ac:dyDescent="0.25">
      <c r="A2012" s="37"/>
      <c r="B2012" s="37"/>
      <c r="C2012" s="37"/>
    </row>
    <row r="2013" spans="1:3" x14ac:dyDescent="0.25">
      <c r="A2013" s="37"/>
      <c r="B2013" s="37"/>
      <c r="C2013" s="37"/>
    </row>
    <row r="2014" spans="1:3" x14ac:dyDescent="0.25">
      <c r="A2014" s="37"/>
      <c r="B2014" s="37"/>
      <c r="C2014" s="37"/>
    </row>
    <row r="2015" spans="1:3" x14ac:dyDescent="0.25">
      <c r="A2015" s="37"/>
      <c r="B2015" s="37"/>
      <c r="C2015" s="37"/>
    </row>
    <row r="2016" spans="1:3" x14ac:dyDescent="0.25">
      <c r="A2016" s="37"/>
      <c r="B2016" s="37"/>
      <c r="C2016" s="37"/>
    </row>
    <row r="2017" spans="1:3" x14ac:dyDescent="0.25">
      <c r="A2017" s="37"/>
      <c r="B2017" s="37"/>
      <c r="C2017" s="37"/>
    </row>
    <row r="2018" spans="1:3" x14ac:dyDescent="0.25">
      <c r="A2018" s="37"/>
      <c r="B2018" s="37"/>
      <c r="C2018" s="37"/>
    </row>
    <row r="2019" spans="1:3" x14ac:dyDescent="0.25">
      <c r="A2019" s="37"/>
      <c r="B2019" s="37"/>
      <c r="C2019" s="37"/>
    </row>
    <row r="2020" spans="1:3" x14ac:dyDescent="0.25">
      <c r="A2020" s="37"/>
      <c r="B2020" s="37"/>
      <c r="C2020" s="37"/>
    </row>
    <row r="2021" spans="1:3" x14ac:dyDescent="0.25">
      <c r="A2021" s="37"/>
      <c r="B2021" s="37"/>
      <c r="C2021" s="37"/>
    </row>
  </sheetData>
  <sheetProtection selectLockedCells="1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N71"/>
  <sheetViews>
    <sheetView workbookViewId="0"/>
  </sheetViews>
  <sheetFormatPr baseColWidth="10" defaultRowHeight="15" x14ac:dyDescent="0.25"/>
  <cols>
    <col min="3" max="6" width="10.7109375" customWidth="1"/>
    <col min="7" max="7" width="3.28515625" customWidth="1"/>
    <col min="8" max="10" width="10.7109375" customWidth="1"/>
    <col min="11" max="11" width="3.28515625" customWidth="1"/>
    <col min="12" max="14" width="10.7109375" customWidth="1"/>
    <col min="15" max="15" width="3.28515625" customWidth="1"/>
  </cols>
  <sheetData>
    <row r="1" spans="1:14" x14ac:dyDescent="0.25">
      <c r="A1" t="s">
        <v>116</v>
      </c>
      <c r="C1" t="s">
        <v>103</v>
      </c>
      <c r="D1" t="s">
        <v>98</v>
      </c>
      <c r="E1" t="s">
        <v>99</v>
      </c>
      <c r="F1" t="s">
        <v>112</v>
      </c>
      <c r="H1" t="s">
        <v>103</v>
      </c>
      <c r="I1" t="s">
        <v>100</v>
      </c>
      <c r="J1" t="s">
        <v>113</v>
      </c>
      <c r="L1" t="s">
        <v>103</v>
      </c>
      <c r="M1" t="s">
        <v>101</v>
      </c>
      <c r="N1" t="s">
        <v>113</v>
      </c>
    </row>
    <row r="2" spans="1:14" x14ac:dyDescent="0.25">
      <c r="A2" t="s">
        <v>115</v>
      </c>
      <c r="C2">
        <v>1</v>
      </c>
      <c r="D2" t="s">
        <v>102</v>
      </c>
      <c r="E2" t="s">
        <v>106</v>
      </c>
      <c r="F2" t="s">
        <v>43</v>
      </c>
      <c r="H2">
        <v>1</v>
      </c>
      <c r="I2" t="s">
        <v>43</v>
      </c>
      <c r="J2" t="str">
        <f t="array" ref="J2">IFERROR(INDEX(tabS_Interface[InterfaceLang],SMALL(IF(tabS_Interface[UserID]=Settings.CurUserID,ROW(tabS_Interface[UserID])),ROW(A1))-1),"-")</f>
        <v>-</v>
      </c>
      <c r="L2">
        <v>1</v>
      </c>
      <c r="M2" t="s">
        <v>123</v>
      </c>
      <c r="N2" t="str">
        <f t="array" ref="N2">IFERROR(INDEX(tabS_Client[ClientCountry],SMALL(IF(tabS_Client[UserID]=Settings.CurUserID,ROW(tabS_Client[UserID])),ROW(A1))-1),"-")</f>
        <v>-</v>
      </c>
    </row>
    <row r="3" spans="1:14" x14ac:dyDescent="0.25">
      <c r="C3">
        <v>2</v>
      </c>
      <c r="D3" t="s">
        <v>104</v>
      </c>
      <c r="E3" t="s">
        <v>105</v>
      </c>
      <c r="F3" t="s">
        <v>43</v>
      </c>
      <c r="H3">
        <v>1</v>
      </c>
      <c r="I3" t="s">
        <v>57</v>
      </c>
      <c r="J3" t="str">
        <f t="array" ref="J3">IFERROR(INDEX(tabS_Interface[InterfaceLang],SMALL(IF(tabS_Interface[UserID]=Settings.CurUserID,ROW(tabS_Interface[UserID])),ROW(A2))-1),"-")</f>
        <v>-</v>
      </c>
      <c r="L3">
        <v>1</v>
      </c>
      <c r="M3" t="s">
        <v>122</v>
      </c>
      <c r="N3" t="str">
        <f t="array" ref="N3">IFERROR(INDEX(tabS_Client[ClientCountry],SMALL(IF(tabS_Client[UserID]=Settings.CurUserID,ROW(tabS_Client[UserID])),ROW(A2))-1),"-")</f>
        <v>-</v>
      </c>
    </row>
    <row r="4" spans="1:14" x14ac:dyDescent="0.25">
      <c r="A4" t="s">
        <v>116</v>
      </c>
      <c r="C4">
        <v>3</v>
      </c>
      <c r="D4" t="s">
        <v>107</v>
      </c>
      <c r="E4" t="s">
        <v>105</v>
      </c>
      <c r="F4" t="s">
        <v>43</v>
      </c>
      <c r="H4">
        <v>1</v>
      </c>
      <c r="I4" t="s">
        <v>121</v>
      </c>
      <c r="J4" t="str">
        <f t="array" ref="J4">IFERROR(INDEX(tabS_Interface[InterfaceLang],SMALL(IF(tabS_Interface[UserID]=Settings.CurUserID,ROW(tabS_Interface[UserID])),ROW(A3))-1),"-")</f>
        <v>-</v>
      </c>
      <c r="L4">
        <v>1</v>
      </c>
      <c r="M4" t="s">
        <v>132</v>
      </c>
      <c r="N4" t="str">
        <f t="array" ref="N4">IFERROR(INDEX(tabS_Client[ClientCountry],SMALL(IF(tabS_Client[UserID]=Settings.CurUserID,ROW(tabS_Client[UserID])),ROW(A3))-1),"-")</f>
        <v>-</v>
      </c>
    </row>
    <row r="5" spans="1:14" x14ac:dyDescent="0.25">
      <c r="A5" t="s">
        <v>117</v>
      </c>
      <c r="C5">
        <v>4</v>
      </c>
      <c r="D5" t="s">
        <v>108</v>
      </c>
      <c r="E5" t="s">
        <v>109</v>
      </c>
      <c r="F5" t="s">
        <v>45</v>
      </c>
      <c r="H5">
        <v>1</v>
      </c>
      <c r="I5" t="s">
        <v>45</v>
      </c>
      <c r="J5" t="str">
        <f t="array" ref="J5">IFERROR(INDEX(tabS_Interface[InterfaceLang],SMALL(IF(tabS_Interface[UserID]=Settings.CurUserID,ROW(tabS_Interface[UserID])),ROW(A4))-1),"-")</f>
        <v>-</v>
      </c>
      <c r="L5">
        <v>1</v>
      </c>
      <c r="M5" t="s">
        <v>121</v>
      </c>
      <c r="N5" t="str">
        <f t="array" ref="N5">IFERROR(INDEX(tabS_Client[ClientCountry],SMALL(IF(tabS_Client[UserID]=Settings.CurUserID,ROW(tabS_Client[UserID])),ROW(A4))-1),"-")</f>
        <v>-</v>
      </c>
    </row>
    <row r="6" spans="1:14" x14ac:dyDescent="0.25">
      <c r="C6">
        <v>5</v>
      </c>
      <c r="D6" t="s">
        <v>110</v>
      </c>
      <c r="E6" t="s">
        <v>109</v>
      </c>
      <c r="F6" t="s">
        <v>45</v>
      </c>
      <c r="H6">
        <v>2</v>
      </c>
      <c r="I6" t="s">
        <v>43</v>
      </c>
      <c r="J6" t="str">
        <f t="array" ref="J6">IFERROR(INDEX(tabS_Interface[InterfaceLang],SMALL(IF(tabS_Interface[UserID]=Settings.CurUserID,ROW(tabS_Interface[UserID])),ROW(A5))-1),"-")</f>
        <v>-</v>
      </c>
      <c r="L6">
        <v>2</v>
      </c>
      <c r="M6" t="s">
        <v>123</v>
      </c>
      <c r="N6" t="str">
        <f t="array" ref="N6">IFERROR(INDEX(tabS_Client[ClientCountry],SMALL(IF(tabS_Client[UserID]=Settings.CurUserID,ROW(tabS_Client[UserID])),ROW(A5))-1),"-")</f>
        <v>-</v>
      </c>
    </row>
    <row r="7" spans="1:14" x14ac:dyDescent="0.25">
      <c r="A7" t="str">
        <f>Settings.CurUser</f>
        <v>Default</v>
      </c>
      <c r="B7" s="40"/>
      <c r="C7">
        <v>6</v>
      </c>
      <c r="D7" t="s">
        <v>111</v>
      </c>
      <c r="E7" t="s">
        <v>109</v>
      </c>
      <c r="F7" t="s">
        <v>45</v>
      </c>
      <c r="H7">
        <v>3</v>
      </c>
      <c r="I7" t="s">
        <v>43</v>
      </c>
      <c r="J7" t="str">
        <f t="array" ref="J7">IFERROR(INDEX(tabS_Interface[InterfaceLang],SMALL(IF(tabS_Interface[UserID]=Settings.CurUserID,ROW(tabS_Interface[UserID])),ROW(A6))-1),"-")</f>
        <v>-</v>
      </c>
      <c r="L7">
        <v>2</v>
      </c>
      <c r="M7" t="s">
        <v>122</v>
      </c>
      <c r="N7" t="str">
        <f t="array" ref="N7">IFERROR(INDEX(tabS_Client[ClientCountry],SMALL(IF(tabS_Client[UserID]=Settings.CurUserID,ROW(tabS_Client[UserID])),ROW(A6))-1),"-")</f>
        <v>-</v>
      </c>
    </row>
    <row r="8" spans="1:14" x14ac:dyDescent="0.25">
      <c r="C8">
        <v>7</v>
      </c>
      <c r="D8" t="s">
        <v>118</v>
      </c>
      <c r="E8" t="s">
        <v>105</v>
      </c>
      <c r="F8" t="s">
        <v>43</v>
      </c>
      <c r="H8">
        <v>4</v>
      </c>
      <c r="I8" t="s">
        <v>43</v>
      </c>
      <c r="J8" t="str">
        <f t="array" ref="J8">IFERROR(INDEX(tabS_Interface[InterfaceLang],SMALL(IF(tabS_Interface[UserID]=Settings.CurUserID,ROW(tabS_Interface[UserID])),ROW(A7))-1),"-")</f>
        <v>-</v>
      </c>
      <c r="L8">
        <v>2</v>
      </c>
      <c r="M8" t="s">
        <v>132</v>
      </c>
      <c r="N8" t="str">
        <f t="array" ref="N8">IFERROR(INDEX(tabS_Client[ClientCountry],SMALL(IF(tabS_Client[UserID]=Settings.CurUserID,ROW(tabS_Client[UserID])),ROW(A7))-1),"-")</f>
        <v>-</v>
      </c>
    </row>
    <row r="9" spans="1:14" x14ac:dyDescent="0.25">
      <c r="C9">
        <v>8</v>
      </c>
      <c r="D9" t="s">
        <v>119</v>
      </c>
      <c r="E9" t="s">
        <v>105</v>
      </c>
      <c r="F9" t="s">
        <v>43</v>
      </c>
      <c r="H9">
        <v>5</v>
      </c>
      <c r="I9" t="s">
        <v>43</v>
      </c>
      <c r="J9" t="str">
        <f t="array" ref="J9">IFERROR(INDEX(tabS_Interface[InterfaceLang],SMALL(IF(tabS_Interface[UserID]=Settings.CurUserID,ROW(tabS_Interface[UserID])),ROW(A8))-1),"-")</f>
        <v>-</v>
      </c>
      <c r="L9">
        <v>2</v>
      </c>
      <c r="M9" t="s">
        <v>121</v>
      </c>
      <c r="N9" t="str">
        <f t="array" ref="N9">IFERROR(INDEX(tabS_Client[ClientCountry],SMALL(IF(tabS_Client[UserID]=Settings.CurUserID,ROW(tabS_Client[UserID])),ROW(A8))-1),"-")</f>
        <v>-</v>
      </c>
    </row>
    <row r="10" spans="1:14" x14ac:dyDescent="0.25">
      <c r="C10">
        <v>9</v>
      </c>
      <c r="D10" t="s">
        <v>120</v>
      </c>
      <c r="E10" t="s">
        <v>109</v>
      </c>
      <c r="F10" t="s">
        <v>45</v>
      </c>
      <c r="H10">
        <v>6</v>
      </c>
      <c r="I10" t="s">
        <v>45</v>
      </c>
      <c r="J10" t="str">
        <f t="array" ref="J10">IFERROR(INDEX(tabS_Interface[InterfaceLang],SMALL(IF(tabS_Interface[UserID]=Settings.CurUserID,ROW(tabS_Interface[UserID])),ROW(A9))-1),"-")</f>
        <v>-</v>
      </c>
      <c r="L10">
        <v>3</v>
      </c>
      <c r="M10" t="s">
        <v>122</v>
      </c>
      <c r="N10" t="str">
        <f t="array" ref="N10">IFERROR(INDEX(tabS_Client[ClientCountry],SMALL(IF(tabS_Client[UserID]=Settings.CurUserID,ROW(tabS_Client[UserID])),ROW(A9))-1),"-")</f>
        <v>-</v>
      </c>
    </row>
    <row r="11" spans="1:14" x14ac:dyDescent="0.25">
      <c r="C11">
        <v>10</v>
      </c>
      <c r="D11" t="s">
        <v>133</v>
      </c>
      <c r="E11" t="s">
        <v>105</v>
      </c>
      <c r="F11" t="s">
        <v>43</v>
      </c>
      <c r="H11">
        <v>7</v>
      </c>
      <c r="I11" t="s">
        <v>43</v>
      </c>
      <c r="J11" t="str">
        <f t="array" ref="J11">IFERROR(INDEX(tabS_Interface[InterfaceLang],SMALL(IF(tabS_Interface[UserID]=Settings.CurUserID,ROW(tabS_Interface[UserID])),ROW(A10))-1),"-")</f>
        <v>-</v>
      </c>
      <c r="L11">
        <v>3</v>
      </c>
      <c r="M11" t="s">
        <v>123</v>
      </c>
      <c r="N11" t="str">
        <f t="array" ref="N11">IFERROR(INDEX(tabS_Client[ClientCountry],SMALL(IF(tabS_Client[UserID]=Settings.CurUserID,ROW(tabS_Client[UserID])),ROW(A10))-1),"-")</f>
        <v>-</v>
      </c>
    </row>
    <row r="12" spans="1:14" x14ac:dyDescent="0.25">
      <c r="C12">
        <v>11</v>
      </c>
      <c r="D12" t="s">
        <v>135</v>
      </c>
      <c r="E12" t="s">
        <v>109</v>
      </c>
      <c r="F12" t="s">
        <v>121</v>
      </c>
      <c r="H12">
        <v>7</v>
      </c>
      <c r="I12" t="s">
        <v>45</v>
      </c>
      <c r="J12" s="37" t="str">
        <f t="array" ref="J12">IFERROR(INDEX(tabS_Interface[InterfaceLang],SMALL(IF(tabS_Interface[UserID]=Settings.CurUserID,ROW(tabS_Interface[UserID])),ROW(A11))-1),"-")</f>
        <v>-</v>
      </c>
      <c r="L12">
        <v>3</v>
      </c>
      <c r="M12" t="s">
        <v>132</v>
      </c>
      <c r="N12" t="str">
        <f t="array" ref="N12">IFERROR(INDEX(tabS_Client[ClientCountry],SMALL(IF(tabS_Client[UserID]=Settings.CurUserID,ROW(tabS_Client[UserID])),ROW(A11))-1),"-")</f>
        <v>-</v>
      </c>
    </row>
    <row r="13" spans="1:14" x14ac:dyDescent="0.25">
      <c r="C13">
        <v>12</v>
      </c>
      <c r="D13" t="s">
        <v>271</v>
      </c>
      <c r="E13" t="s">
        <v>105</v>
      </c>
      <c r="F13" t="s">
        <v>45</v>
      </c>
      <c r="H13">
        <v>8</v>
      </c>
      <c r="I13" t="s">
        <v>43</v>
      </c>
      <c r="J13" t="str">
        <f t="array" ref="J13">IFERROR(INDEX(tabS_Interface[InterfaceLang],SMALL(IF(tabS_Interface[UserID]=Settings.CurUserID,ROW(tabS_Interface[UserID])),ROW(A12))-1),"-")</f>
        <v>-</v>
      </c>
      <c r="L13">
        <v>3</v>
      </c>
      <c r="M13" t="s">
        <v>121</v>
      </c>
      <c r="N13" t="str">
        <f t="array" ref="N13">IFERROR(INDEX(tabS_Client[ClientCountry],SMALL(IF(tabS_Client[UserID]=Settings.CurUserID,ROW(tabS_Client[UserID])),ROW(A12))-1),"-")</f>
        <v>-</v>
      </c>
    </row>
    <row r="14" spans="1:14" x14ac:dyDescent="0.25">
      <c r="C14">
        <v>13</v>
      </c>
      <c r="D14" t="s">
        <v>403</v>
      </c>
      <c r="E14" t="s">
        <v>106</v>
      </c>
      <c r="F14" t="s">
        <v>43</v>
      </c>
      <c r="H14">
        <v>9</v>
      </c>
      <c r="I14" t="s">
        <v>43</v>
      </c>
      <c r="J14" t="str">
        <f t="array" ref="J14">IFERROR(INDEX(tabS_Interface[InterfaceLang],SMALL(IF(tabS_Interface[UserID]=Settings.CurUserID,ROW(tabS_Interface[UserID])),ROW(A13))-1),"-")</f>
        <v>-</v>
      </c>
      <c r="L14">
        <v>4</v>
      </c>
      <c r="M14" t="s">
        <v>123</v>
      </c>
      <c r="N14" t="str">
        <f t="array" ref="N14">IFERROR(INDEX(tabS_Client[ClientCountry],SMALL(IF(tabS_Client[UserID]=Settings.CurUserID,ROW(tabS_Client[UserID])),ROW(A13))-1),"-")</f>
        <v>-</v>
      </c>
    </row>
    <row r="15" spans="1:14" x14ac:dyDescent="0.25">
      <c r="C15">
        <v>14</v>
      </c>
      <c r="D15" t="s">
        <v>404</v>
      </c>
      <c r="E15" t="s">
        <v>105</v>
      </c>
      <c r="F15" t="s">
        <v>43</v>
      </c>
      <c r="H15">
        <v>10</v>
      </c>
      <c r="I15" t="s">
        <v>43</v>
      </c>
      <c r="J15" t="str">
        <f t="array" ref="J15">IFERROR(INDEX(tabS_Interface[InterfaceLang],SMALL(IF(tabS_Interface[UserID]=Settings.CurUserID,ROW(tabS_Interface[UserID])),ROW(A14))-1),"-")</f>
        <v>-</v>
      </c>
      <c r="L15">
        <v>4</v>
      </c>
      <c r="M15" t="s">
        <v>132</v>
      </c>
      <c r="N15" t="str">
        <f t="array" ref="N15">IFERROR(INDEX(tabS_Client[ClientCountry],SMALL(IF(tabS_Client[UserID]=Settings.CurUserID,ROW(tabS_Client[UserID])),ROW(A14))-1),"-")</f>
        <v>-</v>
      </c>
    </row>
    <row r="16" spans="1:14" x14ac:dyDescent="0.25">
      <c r="C16">
        <v>15</v>
      </c>
      <c r="D16" t="s">
        <v>405</v>
      </c>
      <c r="E16" t="s">
        <v>105</v>
      </c>
      <c r="F16" t="s">
        <v>43</v>
      </c>
      <c r="H16">
        <v>11</v>
      </c>
      <c r="I16" t="s">
        <v>43</v>
      </c>
      <c r="J16" s="37" t="str">
        <f t="array" ref="J16">IFERROR(INDEX(tabS_Interface[InterfaceLang],SMALL(IF(tabS_Interface[UserID]=Settings.CurUserID,ROW(tabS_Interface[UserID])),ROW(A15))-1),"-")</f>
        <v>-</v>
      </c>
      <c r="L16">
        <v>5</v>
      </c>
      <c r="M16" t="s">
        <v>123</v>
      </c>
      <c r="N16" t="str">
        <f t="array" ref="N16">IFERROR(INDEX(tabS_Client[ClientCountry],SMALL(IF(tabS_Client[UserID]=Settings.CurUserID,ROW(tabS_Client[UserID])),ROW(A15))-1),"-")</f>
        <v>-</v>
      </c>
    </row>
    <row r="17" spans="3:14" x14ac:dyDescent="0.25">
      <c r="C17">
        <v>16</v>
      </c>
      <c r="D17" t="s">
        <v>406</v>
      </c>
      <c r="E17" t="s">
        <v>105</v>
      </c>
      <c r="F17" t="s">
        <v>43</v>
      </c>
      <c r="H17">
        <v>12</v>
      </c>
      <c r="I17" t="s">
        <v>45</v>
      </c>
      <c r="J17" s="37" t="str">
        <f t="array" ref="J17">IFERROR(INDEX(tabS_Interface[InterfaceLang],SMALL(IF(tabS_Interface[UserID]=Settings.CurUserID,ROW(tabS_Interface[UserID])),ROW(A16))-1),"-")</f>
        <v>-</v>
      </c>
      <c r="L17">
        <v>5</v>
      </c>
      <c r="M17" t="s">
        <v>132</v>
      </c>
      <c r="N17" t="str">
        <f t="array" ref="N17">IFERROR(INDEX(tabS_Client[ClientCountry],SMALL(IF(tabS_Client[UserID]=Settings.CurUserID,ROW(tabS_Client[UserID])),ROW(A16))-1),"-")</f>
        <v>-</v>
      </c>
    </row>
    <row r="18" spans="3:14" x14ac:dyDescent="0.25">
      <c r="C18">
        <v>17</v>
      </c>
      <c r="D18" t="s">
        <v>423</v>
      </c>
      <c r="E18" t="s">
        <v>105</v>
      </c>
      <c r="F18" t="s">
        <v>43</v>
      </c>
      <c r="H18">
        <v>13</v>
      </c>
      <c r="I18" t="s">
        <v>43</v>
      </c>
      <c r="J18" s="37" t="str">
        <f t="array" ref="J18">IFERROR(INDEX(tabS_Interface[InterfaceLang],SMALL(IF(tabS_Interface[UserID]=Settings.CurUserID,ROW(tabS_Interface[UserID])),ROW(A17))-1),"-")</f>
        <v>-</v>
      </c>
      <c r="L18">
        <v>6</v>
      </c>
      <c r="M18" t="s">
        <v>123</v>
      </c>
      <c r="N18" t="str">
        <f t="array" ref="N18">IFERROR(INDEX(tabS_Client[ClientCountry],SMALL(IF(tabS_Client[UserID]=Settings.CurUserID,ROW(tabS_Client[UserID])),ROW(A17))-1),"-")</f>
        <v>-</v>
      </c>
    </row>
    <row r="19" spans="3:14" x14ac:dyDescent="0.25">
      <c r="C19">
        <v>18</v>
      </c>
      <c r="D19" t="s">
        <v>425</v>
      </c>
      <c r="E19" t="s">
        <v>109</v>
      </c>
      <c r="F19" t="s">
        <v>121</v>
      </c>
      <c r="H19">
        <v>13</v>
      </c>
      <c r="I19" t="s">
        <v>57</v>
      </c>
      <c r="J19" s="37" t="str">
        <f t="array" ref="J19">IFERROR(INDEX(tabS_Interface[InterfaceLang],SMALL(IF(tabS_Interface[UserID]=Settings.CurUserID,ROW(tabS_Interface[UserID])),ROW(A18))-1),"-")</f>
        <v>-</v>
      </c>
      <c r="L19">
        <v>6</v>
      </c>
      <c r="M19" t="s">
        <v>132</v>
      </c>
      <c r="N19" t="str">
        <f t="array" ref="N19">IFERROR(INDEX(tabS_Client[ClientCountry],SMALL(IF(tabS_Client[UserID]=Settings.CurUserID,ROW(tabS_Client[UserID])),ROW(A18))-1),"-")</f>
        <v>-</v>
      </c>
    </row>
    <row r="20" spans="3:14" x14ac:dyDescent="0.25">
      <c r="C20">
        <v>19</v>
      </c>
      <c r="D20" t="s">
        <v>428</v>
      </c>
      <c r="E20" t="s">
        <v>105</v>
      </c>
      <c r="F20" t="s">
        <v>45</v>
      </c>
      <c r="H20">
        <v>13</v>
      </c>
      <c r="I20" t="s">
        <v>121</v>
      </c>
      <c r="J20" s="37" t="str">
        <f t="array" ref="J20">IFERROR(INDEX(tabS_Interface[InterfaceLang],SMALL(IF(tabS_Interface[UserID]=Settings.CurUserID,ROW(tabS_Interface[UserID])),ROW(A19))-1),"-")</f>
        <v>-</v>
      </c>
      <c r="L20">
        <v>7</v>
      </c>
      <c r="M20" t="s">
        <v>123</v>
      </c>
      <c r="N20" t="str">
        <f t="array" ref="N20">IFERROR(INDEX(tabS_Client[ClientCountry],SMALL(IF(tabS_Client[UserID]=Settings.CurUserID,ROW(tabS_Client[UserID])),ROW(A19))-1),"-")</f>
        <v>-</v>
      </c>
    </row>
    <row r="21" spans="3:14" x14ac:dyDescent="0.25">
      <c r="C21">
        <v>20</v>
      </c>
      <c r="D21" t="s">
        <v>429</v>
      </c>
      <c r="E21" t="s">
        <v>105</v>
      </c>
      <c r="F21" t="s">
        <v>43</v>
      </c>
      <c r="H21">
        <v>13</v>
      </c>
      <c r="I21" t="s">
        <v>45</v>
      </c>
      <c r="J21" s="37" t="str">
        <f t="array" ref="J21">IFERROR(INDEX(tabS_Interface[InterfaceLang],SMALL(IF(tabS_Interface[UserID]=Settings.CurUserID,ROW(tabS_Interface[UserID])),ROW(A20))-1),"-")</f>
        <v>-</v>
      </c>
      <c r="L21">
        <v>7</v>
      </c>
      <c r="M21" t="s">
        <v>122</v>
      </c>
      <c r="N21" t="str">
        <f t="array" ref="N21">IFERROR(INDEX(tabS_Client[ClientCountry],SMALL(IF(tabS_Client[UserID]=Settings.CurUserID,ROW(tabS_Client[UserID])),ROW(A20))-1),"-")</f>
        <v>-</v>
      </c>
    </row>
    <row r="22" spans="3:14" x14ac:dyDescent="0.25">
      <c r="C22">
        <v>21</v>
      </c>
      <c r="D22" t="s">
        <v>436</v>
      </c>
      <c r="E22" t="s">
        <v>105</v>
      </c>
      <c r="F22" t="s">
        <v>43</v>
      </c>
      <c r="H22">
        <v>14</v>
      </c>
      <c r="I22" t="s">
        <v>43</v>
      </c>
      <c r="J22" s="37" t="str">
        <f t="array" ref="J22">IFERROR(INDEX(tabS_Interface[InterfaceLang],SMALL(IF(tabS_Interface[UserID]=Settings.CurUserID,ROW(tabS_Interface[UserID])),ROW(A21))-1),"-")</f>
        <v>-</v>
      </c>
      <c r="L22">
        <v>7</v>
      </c>
      <c r="M22" t="s">
        <v>132</v>
      </c>
      <c r="N22" t="str">
        <f t="array" ref="N22">IFERROR(INDEX(tabS_Client[ClientCountry],SMALL(IF(tabS_Client[UserID]=Settings.CurUserID,ROW(tabS_Client[UserID])),ROW(A21))-1),"-")</f>
        <v>-</v>
      </c>
    </row>
    <row r="23" spans="3:14" x14ac:dyDescent="0.25">
      <c r="C23">
        <v>22</v>
      </c>
      <c r="D23" t="s">
        <v>437</v>
      </c>
      <c r="E23" t="s">
        <v>109</v>
      </c>
      <c r="F23" t="s">
        <v>45</v>
      </c>
      <c r="H23">
        <v>14</v>
      </c>
      <c r="I23" t="s">
        <v>45</v>
      </c>
      <c r="J23" s="37" t="str">
        <f t="array" ref="J23">IFERROR(INDEX(tabS_Interface[InterfaceLang],SMALL(IF(tabS_Interface[UserID]=Settings.CurUserID,ROW(tabS_Interface[UserID])),ROW(A22))-1),"-")</f>
        <v>-</v>
      </c>
      <c r="L23">
        <v>7</v>
      </c>
      <c r="M23" t="s">
        <v>121</v>
      </c>
      <c r="N23" t="str">
        <f t="array" ref="N23">IFERROR(INDEX(tabS_Client[ClientCountry],SMALL(IF(tabS_Client[UserID]=Settings.CurUserID,ROW(tabS_Client[UserID])),ROW(A22))-1),"-")</f>
        <v>-</v>
      </c>
    </row>
    <row r="24" spans="3:14" x14ac:dyDescent="0.25">
      <c r="H24">
        <v>15</v>
      </c>
      <c r="I24" t="s">
        <v>43</v>
      </c>
      <c r="J24" s="37" t="str">
        <f t="array" ref="J24">IFERROR(INDEX(tabS_Interface[InterfaceLang],SMALL(IF(tabS_Interface[UserID]=Settings.CurUserID,ROW(tabS_Interface[UserID])),ROW(A23))-1),"-")</f>
        <v>-</v>
      </c>
      <c r="L24">
        <v>8</v>
      </c>
      <c r="M24" t="s">
        <v>123</v>
      </c>
      <c r="N24" t="str">
        <f t="array" ref="N24">IFERROR(INDEX(tabS_Client[ClientCountry],SMALL(IF(tabS_Client[UserID]=Settings.CurUserID,ROW(tabS_Client[UserID])),ROW(A23))-1),"-")</f>
        <v>-</v>
      </c>
    </row>
    <row r="25" spans="3:14" x14ac:dyDescent="0.25">
      <c r="H25">
        <v>15</v>
      </c>
      <c r="I25" t="s">
        <v>45</v>
      </c>
      <c r="J25" s="37" t="str">
        <f t="array" ref="J25">IFERROR(INDEX(tabS_Interface[InterfaceLang],SMALL(IF(tabS_Interface[UserID]=Settings.CurUserID,ROW(tabS_Interface[UserID])),ROW(A24))-1),"-")</f>
        <v>-</v>
      </c>
      <c r="L25">
        <v>8</v>
      </c>
      <c r="M25" t="s">
        <v>122</v>
      </c>
      <c r="N25" t="str">
        <f t="array" ref="N25">IFERROR(INDEX(tabS_Client[ClientCountry],SMALL(IF(tabS_Client[UserID]=Settings.CurUserID,ROW(tabS_Client[UserID])),ROW(A24))-1),"-")</f>
        <v>-</v>
      </c>
    </row>
    <row r="26" spans="3:14" x14ac:dyDescent="0.25">
      <c r="H26">
        <v>16</v>
      </c>
      <c r="I26" t="s">
        <v>43</v>
      </c>
      <c r="J26" s="37" t="str">
        <f t="array" ref="J26">IFERROR(INDEX(tabS_Interface[InterfaceLang],SMALL(IF(tabS_Interface[UserID]=Settings.CurUserID,ROW(tabS_Interface[UserID])),ROW(A25))-1),"-")</f>
        <v>-</v>
      </c>
      <c r="L26">
        <v>8</v>
      </c>
      <c r="M26" t="s">
        <v>132</v>
      </c>
      <c r="N26" t="str">
        <f t="array" ref="N26">IFERROR(INDEX(tabS_Client[ClientCountry],SMALL(IF(tabS_Client[UserID]=Settings.CurUserID,ROW(tabS_Client[UserID])),ROW(A25))-1),"-")</f>
        <v>-</v>
      </c>
    </row>
    <row r="27" spans="3:14" x14ac:dyDescent="0.25">
      <c r="H27">
        <v>16</v>
      </c>
      <c r="I27" t="s">
        <v>45</v>
      </c>
      <c r="J27" s="37" t="str">
        <f t="array" ref="J27">IFERROR(INDEX(tabS_Interface[InterfaceLang],SMALL(IF(tabS_Interface[UserID]=Settings.CurUserID,ROW(tabS_Interface[UserID])),ROW(A26))-1),"-")</f>
        <v>-</v>
      </c>
      <c r="L27">
        <v>8</v>
      </c>
      <c r="M27" t="s">
        <v>121</v>
      </c>
      <c r="N27" t="str">
        <f t="array" ref="N27">IFERROR(INDEX(tabS_Client[ClientCountry],SMALL(IF(tabS_Client[UserID]=Settings.CurUserID,ROW(tabS_Client[UserID])),ROW(A26))-1),"-")</f>
        <v>-</v>
      </c>
    </row>
    <row r="28" spans="3:14" x14ac:dyDescent="0.25">
      <c r="H28">
        <v>17</v>
      </c>
      <c r="I28" t="s">
        <v>43</v>
      </c>
      <c r="J28" s="37" t="str">
        <f t="array" ref="J28">IFERROR(INDEX(tabS_Interface[InterfaceLang],SMALL(IF(tabS_Interface[UserID]=Settings.CurUserID,ROW(tabS_Interface[UserID])),ROW(A27))-1),"-")</f>
        <v>-</v>
      </c>
      <c r="L28">
        <v>9</v>
      </c>
      <c r="M28" t="s">
        <v>123</v>
      </c>
      <c r="N28" t="str">
        <f t="array" ref="N28">IFERROR(INDEX(tabS_Client[ClientCountry],SMALL(IF(tabS_Client[UserID]=Settings.CurUserID,ROW(tabS_Client[UserID])),ROW(A27))-1),"-")</f>
        <v>-</v>
      </c>
    </row>
    <row r="29" spans="3:14" x14ac:dyDescent="0.25">
      <c r="H29">
        <v>17</v>
      </c>
      <c r="I29" t="s">
        <v>57</v>
      </c>
      <c r="J29" s="37" t="str">
        <f t="array" ref="J29">IFERROR(INDEX(tabS_Interface[InterfaceLang],SMALL(IF(tabS_Interface[UserID]=Settings.CurUserID,ROW(tabS_Interface[UserID])),ROW(A28))-1),"-")</f>
        <v>-</v>
      </c>
      <c r="L29">
        <v>9</v>
      </c>
      <c r="M29" t="s">
        <v>132</v>
      </c>
      <c r="N29" t="str">
        <f t="array" ref="N29">IFERROR(INDEX(tabS_Client[ClientCountry],SMALL(IF(tabS_Client[UserID]=Settings.CurUserID,ROW(tabS_Client[UserID])),ROW(A28))-1),"-")</f>
        <v>-</v>
      </c>
    </row>
    <row r="30" spans="3:14" x14ac:dyDescent="0.25">
      <c r="H30">
        <v>17</v>
      </c>
      <c r="I30" t="s">
        <v>121</v>
      </c>
      <c r="J30" s="37" t="str">
        <f t="array" ref="J30">IFERROR(INDEX(tabS_Interface[InterfaceLang],SMALL(IF(tabS_Interface[UserID]=Settings.CurUserID,ROW(tabS_Interface[UserID])),ROW(A29))-1),"-")</f>
        <v>-</v>
      </c>
      <c r="L30">
        <v>10</v>
      </c>
      <c r="M30" t="s">
        <v>123</v>
      </c>
      <c r="N30" t="str">
        <f t="array" ref="N30">IFERROR(INDEX(tabS_Client[ClientCountry],SMALL(IF(tabS_Client[UserID]=Settings.CurUserID,ROW(tabS_Client[UserID])),ROW(A29))-1),"-")</f>
        <v>-</v>
      </c>
    </row>
    <row r="31" spans="3:14" x14ac:dyDescent="0.25">
      <c r="H31">
        <v>17</v>
      </c>
      <c r="I31" t="s">
        <v>45</v>
      </c>
      <c r="J31" s="37" t="str">
        <f t="array" ref="J31">IFERROR(INDEX(tabS_Interface[InterfaceLang],SMALL(IF(tabS_Interface[UserID]=Settings.CurUserID,ROW(tabS_Interface[UserID])),ROW(A30))-1),"-")</f>
        <v>-</v>
      </c>
      <c r="L31">
        <v>10</v>
      </c>
      <c r="M31" t="s">
        <v>122</v>
      </c>
      <c r="N31" t="str">
        <f t="array" ref="N31">IFERROR(INDEX(tabS_Client[ClientCountry],SMALL(IF(tabS_Client[UserID]=Settings.CurUserID,ROW(tabS_Client[UserID])),ROW(A30))-1),"-")</f>
        <v>-</v>
      </c>
    </row>
    <row r="32" spans="3:14" x14ac:dyDescent="0.25">
      <c r="H32">
        <v>18</v>
      </c>
      <c r="I32" t="s">
        <v>45</v>
      </c>
      <c r="J32" s="37" t="str">
        <f t="array" ref="J32">IFERROR(INDEX(tabS_Interface[InterfaceLang],SMALL(IF(tabS_Interface[UserID]=Settings.CurUserID,ROW(tabS_Interface[UserID])),ROW(A31))-1),"-")</f>
        <v>-</v>
      </c>
      <c r="L32">
        <v>10</v>
      </c>
      <c r="M32" t="s">
        <v>132</v>
      </c>
      <c r="N32" t="str">
        <f t="array" ref="N32">IFERROR(INDEX(tabS_Client[ClientCountry],SMALL(IF(tabS_Client[UserID]=Settings.CurUserID,ROW(tabS_Client[UserID])),ROW(A31))-1),"-")</f>
        <v>-</v>
      </c>
    </row>
    <row r="33" spans="8:14" x14ac:dyDescent="0.25">
      <c r="H33">
        <v>18</v>
      </c>
      <c r="I33" t="s">
        <v>121</v>
      </c>
      <c r="J33" s="37" t="str">
        <f t="array" ref="J33">IFERROR(INDEX(tabS_Interface[InterfaceLang],SMALL(IF(tabS_Interface[UserID]=Settings.CurUserID,ROW(tabS_Interface[UserID])),ROW(A32))-1),"-")</f>
        <v>-</v>
      </c>
      <c r="L33">
        <v>10</v>
      </c>
      <c r="M33" t="s">
        <v>121</v>
      </c>
      <c r="N33" t="str">
        <f t="array" ref="N33">IFERROR(INDEX(tabS_Client[ClientCountry],SMALL(IF(tabS_Client[UserID]=Settings.CurUserID,ROW(tabS_Client[UserID])),ROW(A32))-1),"-")</f>
        <v>-</v>
      </c>
    </row>
    <row r="34" spans="8:14" x14ac:dyDescent="0.25">
      <c r="H34">
        <v>19</v>
      </c>
      <c r="I34" t="s">
        <v>45</v>
      </c>
      <c r="J34" s="37" t="str" cm="1">
        <f t="array" ref="J34">IFERROR(INDEX(tabS_Interface[InterfaceLang],SMALL(IF(tabS_Interface[UserID]=Settings.CurUserID,ROW(tabS_Interface[UserID])),ROW(A33))-1),"-")</f>
        <v>-</v>
      </c>
      <c r="L34">
        <v>11</v>
      </c>
      <c r="M34" t="s">
        <v>121</v>
      </c>
      <c r="N34" s="37" t="str">
        <f t="array" ref="N34">IFERROR(INDEX(tabS_Client[ClientCountry],SMALL(IF(tabS_Client[UserID]=Settings.CurUserID,ROW(tabS_Client[UserID])),ROW(A33))-1),"-")</f>
        <v>-</v>
      </c>
    </row>
    <row r="35" spans="8:14" x14ac:dyDescent="0.25">
      <c r="H35">
        <v>19</v>
      </c>
      <c r="I35" t="s">
        <v>121</v>
      </c>
      <c r="J35" s="37" t="str" cm="1">
        <f t="array" ref="J35">IFERROR(INDEX(tabS_Interface[InterfaceLang],SMALL(IF(tabS_Interface[UserID]=Settings.CurUserID,ROW(tabS_Interface[UserID])),ROW(A34))-1),"-")</f>
        <v>-</v>
      </c>
      <c r="L35">
        <v>12</v>
      </c>
      <c r="M35" t="s">
        <v>123</v>
      </c>
      <c r="N35" s="37" t="str">
        <f t="array" ref="N35">IFERROR(INDEX(tabS_Client[ClientCountry],SMALL(IF(tabS_Client[UserID]=Settings.CurUserID,ROW(tabS_Client[UserID])),ROW(A34))-1),"-")</f>
        <v>-</v>
      </c>
    </row>
    <row r="36" spans="8:14" x14ac:dyDescent="0.25">
      <c r="H36">
        <v>20</v>
      </c>
      <c r="I36" t="s">
        <v>43</v>
      </c>
      <c r="J36" s="37" t="str" cm="1">
        <f t="array" ref="J36">IFERROR(INDEX(tabS_Interface[InterfaceLang],SMALL(IF(tabS_Interface[UserID]=Settings.CurUserID,ROW(tabS_Interface[UserID])),ROW(A35))-1),"-")</f>
        <v>-</v>
      </c>
      <c r="L36">
        <v>12</v>
      </c>
      <c r="M36" t="s">
        <v>122</v>
      </c>
      <c r="N36" s="37" t="str">
        <f t="array" ref="N36">IFERROR(INDEX(tabS_Client[ClientCountry],SMALL(IF(tabS_Client[UserID]=Settings.CurUserID,ROW(tabS_Client[UserID])),ROW(A35))-1),"-")</f>
        <v>-</v>
      </c>
    </row>
    <row r="37" spans="8:14" x14ac:dyDescent="0.25">
      <c r="H37">
        <v>20</v>
      </c>
      <c r="I37" t="s">
        <v>45</v>
      </c>
      <c r="J37" s="37" t="str" cm="1">
        <f t="array" ref="J37">IFERROR(INDEX(tabS_Interface[InterfaceLang],SMALL(IF(tabS_Interface[UserID]=Settings.CurUserID,ROW(tabS_Interface[UserID])),ROW(A36))-1),"-")</f>
        <v>-</v>
      </c>
      <c r="L37">
        <v>12</v>
      </c>
      <c r="M37" t="s">
        <v>132</v>
      </c>
      <c r="N37" s="37" t="str">
        <f t="array" ref="N37">IFERROR(INDEX(tabS_Client[ClientCountry],SMALL(IF(tabS_Client[UserID]=Settings.CurUserID,ROW(tabS_Client[UserID])),ROW(A36))-1),"-")</f>
        <v>-</v>
      </c>
    </row>
    <row r="38" spans="8:14" x14ac:dyDescent="0.25">
      <c r="H38">
        <v>21</v>
      </c>
      <c r="I38" t="s">
        <v>43</v>
      </c>
      <c r="J38" s="37" t="str" cm="1">
        <f t="array" ref="J38">IFERROR(INDEX(tabS_Interface[InterfaceLang],SMALL(IF(tabS_Interface[UserID]=Settings.CurUserID,ROW(tabS_Interface[UserID])),ROW(A37))-1),"-")</f>
        <v>-</v>
      </c>
      <c r="L38">
        <v>12</v>
      </c>
      <c r="M38" t="s">
        <v>121</v>
      </c>
      <c r="N38" s="37" t="str">
        <f t="array" ref="N38">IFERROR(INDEX(tabS_Client[ClientCountry],SMALL(IF(tabS_Client[UserID]=Settings.CurUserID,ROW(tabS_Client[UserID])),ROW(A37))-1),"-")</f>
        <v>-</v>
      </c>
    </row>
    <row r="39" spans="8:14" x14ac:dyDescent="0.25">
      <c r="H39">
        <v>21</v>
      </c>
      <c r="I39" t="s">
        <v>45</v>
      </c>
      <c r="J39" s="37" t="str" cm="1">
        <f t="array" ref="J39">IFERROR(INDEX(tabS_Interface[InterfaceLang],SMALL(IF(tabS_Interface[UserID]=Settings.CurUserID,ROW(tabS_Interface[UserID])),ROW(A38))-1),"-")</f>
        <v>-</v>
      </c>
      <c r="L39">
        <v>13</v>
      </c>
      <c r="M39" t="s">
        <v>123</v>
      </c>
      <c r="N39" s="37" t="str">
        <f t="array" ref="N39">IFERROR(INDEX(tabS_Client[ClientCountry],SMALL(IF(tabS_Client[UserID]=Settings.CurUserID,ROW(tabS_Client[UserID])),ROW(A38))-1),"-")</f>
        <v>-</v>
      </c>
    </row>
    <row r="40" spans="8:14" x14ac:dyDescent="0.25">
      <c r="H40">
        <v>22</v>
      </c>
      <c r="I40" t="s">
        <v>45</v>
      </c>
      <c r="J40" s="37" t="str" cm="1">
        <f t="array" ref="J40">IFERROR(INDEX(tabS_Interface[InterfaceLang],SMALL(IF(tabS_Interface[UserID]=Settings.CurUserID,ROW(tabS_Interface[UserID])),ROW(A39))-1),"-")</f>
        <v>-</v>
      </c>
      <c r="L40">
        <v>13</v>
      </c>
      <c r="M40" t="s">
        <v>122</v>
      </c>
      <c r="N40" s="37" t="str">
        <f t="array" ref="N40">IFERROR(INDEX(tabS_Client[ClientCountry],SMALL(IF(tabS_Client[UserID]=Settings.CurUserID,ROW(tabS_Client[UserID])),ROW(A39))-1),"-")</f>
        <v>-</v>
      </c>
    </row>
    <row r="41" spans="8:14" x14ac:dyDescent="0.25">
      <c r="L41">
        <v>13</v>
      </c>
      <c r="M41" t="s">
        <v>132</v>
      </c>
      <c r="N41" s="37" t="str">
        <f t="array" ref="N41">IFERROR(INDEX(tabS_Client[ClientCountry],SMALL(IF(tabS_Client[UserID]=Settings.CurUserID,ROW(tabS_Client[UserID])),ROW(A40))-1),"-")</f>
        <v>-</v>
      </c>
    </row>
    <row r="42" spans="8:14" x14ac:dyDescent="0.25">
      <c r="L42">
        <v>13</v>
      </c>
      <c r="M42" t="s">
        <v>121</v>
      </c>
      <c r="N42" s="37" t="str">
        <f t="array" ref="N42">IFERROR(INDEX(tabS_Client[ClientCountry],SMALL(IF(tabS_Client[UserID]=Settings.CurUserID,ROW(tabS_Client[UserID])),ROW(A41))-1),"-")</f>
        <v>-</v>
      </c>
    </row>
    <row r="43" spans="8:14" x14ac:dyDescent="0.25">
      <c r="L43">
        <v>14</v>
      </c>
      <c r="M43" t="s">
        <v>123</v>
      </c>
      <c r="N43" s="37" t="str">
        <f t="array" ref="N43">IFERROR(INDEX(tabS_Client[ClientCountry],SMALL(IF(tabS_Client[UserID]=Settings.CurUserID,ROW(tabS_Client[UserID])),ROW(A42))-1),"-")</f>
        <v>-</v>
      </c>
    </row>
    <row r="44" spans="8:14" x14ac:dyDescent="0.25">
      <c r="L44">
        <v>14</v>
      </c>
      <c r="M44" t="s">
        <v>122</v>
      </c>
      <c r="N44" s="37" t="str">
        <f t="array" ref="N44">IFERROR(INDEX(tabS_Client[ClientCountry],SMALL(IF(tabS_Client[UserID]=Settings.CurUserID,ROW(tabS_Client[UserID])),ROW(A43))-1),"-")</f>
        <v>-</v>
      </c>
    </row>
    <row r="45" spans="8:14" x14ac:dyDescent="0.25">
      <c r="L45">
        <v>14</v>
      </c>
      <c r="M45" t="s">
        <v>132</v>
      </c>
      <c r="N45" s="37" t="str">
        <f t="array" ref="N45">IFERROR(INDEX(tabS_Client[ClientCountry],SMALL(IF(tabS_Client[UserID]=Settings.CurUserID,ROW(tabS_Client[UserID])),ROW(A44))-1),"-")</f>
        <v>-</v>
      </c>
    </row>
    <row r="46" spans="8:14" x14ac:dyDescent="0.25">
      <c r="L46">
        <v>14</v>
      </c>
      <c r="M46" t="s">
        <v>121</v>
      </c>
      <c r="N46" s="37" t="str">
        <f t="array" ref="N46">IFERROR(INDEX(tabS_Client[ClientCountry],SMALL(IF(tabS_Client[UserID]=Settings.CurUserID,ROW(tabS_Client[UserID])),ROW(A45))-1),"-")</f>
        <v>-</v>
      </c>
    </row>
    <row r="47" spans="8:14" x14ac:dyDescent="0.25">
      <c r="L47">
        <v>15</v>
      </c>
      <c r="M47" t="s">
        <v>123</v>
      </c>
      <c r="N47" s="37" t="str">
        <f t="array" ref="N47">IFERROR(INDEX(tabS_Client[ClientCountry],SMALL(IF(tabS_Client[UserID]=Settings.CurUserID,ROW(tabS_Client[UserID])),ROW(A46))-1),"-")</f>
        <v>-</v>
      </c>
    </row>
    <row r="48" spans="8:14" x14ac:dyDescent="0.25">
      <c r="L48">
        <v>15</v>
      </c>
      <c r="M48" t="s">
        <v>122</v>
      </c>
      <c r="N48" s="37" t="str">
        <f t="array" ref="N48">IFERROR(INDEX(tabS_Client[ClientCountry],SMALL(IF(tabS_Client[UserID]=Settings.CurUserID,ROW(tabS_Client[UserID])),ROW(A47))-1),"-")</f>
        <v>-</v>
      </c>
    </row>
    <row r="49" spans="12:14" x14ac:dyDescent="0.25">
      <c r="L49">
        <v>15</v>
      </c>
      <c r="M49" t="s">
        <v>132</v>
      </c>
      <c r="N49" s="37" t="str">
        <f t="array" ref="N49">IFERROR(INDEX(tabS_Client[ClientCountry],SMALL(IF(tabS_Client[UserID]=Settings.CurUserID,ROW(tabS_Client[UserID])),ROW(A48))-1),"-")</f>
        <v>-</v>
      </c>
    </row>
    <row r="50" spans="12:14" x14ac:dyDescent="0.25">
      <c r="L50">
        <v>15</v>
      </c>
      <c r="M50" t="s">
        <v>121</v>
      </c>
      <c r="N50" s="37" t="str">
        <f t="array" ref="N50">IFERROR(INDEX(tabS_Client[ClientCountry],SMALL(IF(tabS_Client[UserID]=Settings.CurUserID,ROW(tabS_Client[UserID])),ROW(A49))-1),"-")</f>
        <v>-</v>
      </c>
    </row>
    <row r="51" spans="12:14" x14ac:dyDescent="0.25">
      <c r="L51">
        <v>16</v>
      </c>
      <c r="M51" t="s">
        <v>123</v>
      </c>
      <c r="N51" s="37" t="str">
        <f t="array" ref="N51">IFERROR(INDEX(tabS_Client[ClientCountry],SMALL(IF(tabS_Client[UserID]=Settings.CurUserID,ROW(tabS_Client[UserID])),ROW(A50))-1),"-")</f>
        <v>-</v>
      </c>
    </row>
    <row r="52" spans="12:14" x14ac:dyDescent="0.25">
      <c r="L52">
        <v>16</v>
      </c>
      <c r="M52" t="s">
        <v>122</v>
      </c>
      <c r="N52" s="37" t="str">
        <f t="array" ref="N52">IFERROR(INDEX(tabS_Client[ClientCountry],SMALL(IF(tabS_Client[UserID]=Settings.CurUserID,ROW(tabS_Client[UserID])),ROW(A51))-1),"-")</f>
        <v>-</v>
      </c>
    </row>
    <row r="53" spans="12:14" x14ac:dyDescent="0.25">
      <c r="L53">
        <v>16</v>
      </c>
      <c r="M53" t="s">
        <v>132</v>
      </c>
      <c r="N53" s="37" t="str">
        <f t="array" ref="N53">IFERROR(INDEX(tabS_Client[ClientCountry],SMALL(IF(tabS_Client[UserID]=Settings.CurUserID,ROW(tabS_Client[UserID])),ROW(A52))-1),"-")</f>
        <v>-</v>
      </c>
    </row>
    <row r="54" spans="12:14" x14ac:dyDescent="0.25">
      <c r="L54">
        <v>16</v>
      </c>
      <c r="M54" t="s">
        <v>121</v>
      </c>
      <c r="N54" s="37" t="str">
        <f t="array" ref="N54">IFERROR(INDEX(tabS_Client[ClientCountry],SMALL(IF(tabS_Client[UserID]=Settings.CurUserID,ROW(tabS_Client[UserID])),ROW(A53))-1),"-")</f>
        <v>-</v>
      </c>
    </row>
    <row r="55" spans="12:14" x14ac:dyDescent="0.25">
      <c r="L55">
        <v>17</v>
      </c>
      <c r="M55" t="s">
        <v>123</v>
      </c>
      <c r="N55" s="37" t="str">
        <f t="array" ref="N55">IFERROR(INDEX(tabS_Client[ClientCountry],SMALL(IF(tabS_Client[UserID]=Settings.CurUserID,ROW(tabS_Client[UserID])),ROW(A54))-1),"-")</f>
        <v>-</v>
      </c>
    </row>
    <row r="56" spans="12:14" x14ac:dyDescent="0.25">
      <c r="L56">
        <v>17</v>
      </c>
      <c r="M56" t="s">
        <v>122</v>
      </c>
      <c r="N56" s="37" t="str">
        <f t="array" ref="N56">IFERROR(INDEX(tabS_Client[ClientCountry],SMALL(IF(tabS_Client[UserID]=Settings.CurUserID,ROW(tabS_Client[UserID])),ROW(A55))-1),"-")</f>
        <v>-</v>
      </c>
    </row>
    <row r="57" spans="12:14" x14ac:dyDescent="0.25">
      <c r="L57">
        <v>17</v>
      </c>
      <c r="M57" t="s">
        <v>132</v>
      </c>
      <c r="N57" s="37" t="str">
        <f t="array" ref="N57">IFERROR(INDEX(tabS_Client[ClientCountry],SMALL(IF(tabS_Client[UserID]=Settings.CurUserID,ROW(tabS_Client[UserID])),ROW(A56))-1),"-")</f>
        <v>-</v>
      </c>
    </row>
    <row r="58" spans="12:14" x14ac:dyDescent="0.25">
      <c r="L58">
        <v>17</v>
      </c>
      <c r="M58" t="s">
        <v>121</v>
      </c>
      <c r="N58" s="37" t="str">
        <f t="array" ref="N58">IFERROR(INDEX(tabS_Client[ClientCountry],SMALL(IF(tabS_Client[UserID]=Settings.CurUserID,ROW(tabS_Client[UserID])),ROW(A57))-1),"-")</f>
        <v>-</v>
      </c>
    </row>
    <row r="59" spans="12:14" x14ac:dyDescent="0.25">
      <c r="L59">
        <v>18</v>
      </c>
      <c r="M59" t="s">
        <v>121</v>
      </c>
      <c r="N59" s="37" t="str">
        <f t="array" ref="N59">IFERROR(INDEX(tabS_Client[ClientCountry],SMALL(IF(tabS_Client[UserID]=Settings.CurUserID,ROW(tabS_Client[UserID])),ROW(A58))-1),"-")</f>
        <v>-</v>
      </c>
    </row>
    <row r="60" spans="12:14" x14ac:dyDescent="0.25">
      <c r="L60">
        <v>19</v>
      </c>
      <c r="M60" t="s">
        <v>123</v>
      </c>
      <c r="N60" s="37" t="str" cm="1">
        <f t="array" ref="N60">IFERROR(INDEX(tabS_Client[ClientCountry],SMALL(IF(tabS_Client[UserID]=Settings.CurUserID,ROW(tabS_Client[UserID])),ROW(A59))-1),"-")</f>
        <v>-</v>
      </c>
    </row>
    <row r="61" spans="12:14" x14ac:dyDescent="0.25">
      <c r="L61">
        <v>19</v>
      </c>
      <c r="M61" t="s">
        <v>121</v>
      </c>
      <c r="N61" s="37" t="str" cm="1">
        <f t="array" ref="N61">IFERROR(INDEX(tabS_Client[ClientCountry],SMALL(IF(tabS_Client[UserID]=Settings.CurUserID,ROW(tabS_Client[UserID])),ROW(A60))-1),"-")</f>
        <v>-</v>
      </c>
    </row>
    <row r="62" spans="12:14" x14ac:dyDescent="0.25">
      <c r="L62">
        <v>19</v>
      </c>
      <c r="M62" t="s">
        <v>122</v>
      </c>
      <c r="N62" s="37" t="str" cm="1">
        <f t="array" ref="N62">IFERROR(INDEX(tabS_Client[ClientCountry],SMALL(IF(tabS_Client[UserID]=Settings.CurUserID,ROW(tabS_Client[UserID])),ROW(A61))-1),"-")</f>
        <v>-</v>
      </c>
    </row>
    <row r="63" spans="12:14" x14ac:dyDescent="0.25">
      <c r="L63">
        <v>20</v>
      </c>
      <c r="M63" t="s">
        <v>123</v>
      </c>
      <c r="N63" s="37" t="str" cm="1">
        <f t="array" ref="N63">IFERROR(INDEX(tabS_Client[ClientCountry],SMALL(IF(tabS_Client[UserID]=Settings.CurUserID,ROW(tabS_Client[UserID])),ROW(A61))-1),"-")</f>
        <v>-</v>
      </c>
    </row>
    <row r="64" spans="12:14" x14ac:dyDescent="0.25">
      <c r="L64">
        <v>20</v>
      </c>
      <c r="M64" t="s">
        <v>122</v>
      </c>
      <c r="N64" s="37" t="str" cm="1">
        <f t="array" ref="N64">IFERROR(INDEX(tabS_Client[ClientCountry],SMALL(IF(tabS_Client[UserID]=Settings.CurUserID,ROW(tabS_Client[UserID])),ROW(A62))-1),"-")</f>
        <v>-</v>
      </c>
    </row>
    <row r="65" spans="12:14" x14ac:dyDescent="0.25">
      <c r="L65">
        <v>20</v>
      </c>
      <c r="M65" t="s">
        <v>132</v>
      </c>
      <c r="N65" s="37" t="str" cm="1">
        <f t="array" ref="N65">IFERROR(INDEX(tabS_Client[ClientCountry],SMALL(IF(tabS_Client[UserID]=Settings.CurUserID,ROW(tabS_Client[UserID])),ROW(A63))-1),"-")</f>
        <v>-</v>
      </c>
    </row>
    <row r="66" spans="12:14" x14ac:dyDescent="0.25">
      <c r="L66">
        <v>20</v>
      </c>
      <c r="M66" t="s">
        <v>121</v>
      </c>
      <c r="N66" s="37" t="str" cm="1">
        <f t="array" ref="N66">IFERROR(INDEX(tabS_Client[ClientCountry],SMALL(IF(tabS_Client[UserID]=Settings.CurUserID,ROW(tabS_Client[UserID])),ROW(A64))-1),"-")</f>
        <v>-</v>
      </c>
    </row>
    <row r="67" spans="12:14" x14ac:dyDescent="0.25">
      <c r="L67">
        <v>21</v>
      </c>
      <c r="M67" t="s">
        <v>123</v>
      </c>
      <c r="N67" s="37" t="str" cm="1">
        <f t="array" ref="N67">IFERROR(INDEX(tabS_Client[ClientCountry],SMALL(IF(tabS_Client[UserID]=Settings.CurUserID,ROW(tabS_Client[UserID])),ROW(A65))-1),"-")</f>
        <v>-</v>
      </c>
    </row>
    <row r="68" spans="12:14" x14ac:dyDescent="0.25">
      <c r="L68">
        <v>21</v>
      </c>
      <c r="M68" t="s">
        <v>122</v>
      </c>
      <c r="N68" s="37" t="str" cm="1">
        <f t="array" ref="N68">IFERROR(INDEX(tabS_Client[ClientCountry],SMALL(IF(tabS_Client[UserID]=Settings.CurUserID,ROW(tabS_Client[UserID])),ROW(A66))-1),"-")</f>
        <v>-</v>
      </c>
    </row>
    <row r="69" spans="12:14" x14ac:dyDescent="0.25">
      <c r="L69">
        <v>21</v>
      </c>
      <c r="M69" t="s">
        <v>132</v>
      </c>
      <c r="N69" s="37" t="str" cm="1">
        <f t="array" ref="N69">IFERROR(INDEX(tabS_Client[ClientCountry],SMALL(IF(tabS_Client[UserID]=Settings.CurUserID,ROW(tabS_Client[UserID])),ROW(A67))-1),"-")</f>
        <v>-</v>
      </c>
    </row>
    <row r="70" spans="12:14" x14ac:dyDescent="0.25">
      <c r="L70">
        <v>21</v>
      </c>
      <c r="M70" t="s">
        <v>121</v>
      </c>
      <c r="N70" s="37" t="str" cm="1">
        <f t="array" ref="N70">IFERROR(INDEX(tabS_Client[ClientCountry],SMALL(IF(tabS_Client[UserID]=Settings.CurUserID,ROW(tabS_Client[UserID])),ROW(A68))-1),"-")</f>
        <v>-</v>
      </c>
    </row>
    <row r="71" spans="12:14" x14ac:dyDescent="0.25">
      <c r="L71">
        <v>22</v>
      </c>
      <c r="M71" t="s">
        <v>123</v>
      </c>
      <c r="N71" s="37" t="str" cm="1">
        <f t="array" ref="N71">IFERROR(INDEX(tabS_Client[ClientCountry],SMALL(IF(tabS_Client[UserID]=Settings.CurUserID,ROW(tabS_Client[UserID])),ROW(A69))-1),"-")</f>
        <v>-</v>
      </c>
    </row>
  </sheetData>
  <sheetProtection sheet="1" objects="1" scenarios="1"/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43</vt:i4>
      </vt:variant>
    </vt:vector>
  </HeadingPairs>
  <TitlesOfParts>
    <vt:vector size="44" baseType="lpstr">
      <vt:lpstr>Eingabe</vt:lpstr>
      <vt:lpstr>Daten.Artikeltyp</vt:lpstr>
      <vt:lpstr>Daten.Bohrungen</vt:lpstr>
      <vt:lpstr>Daten.Durchmesser</vt:lpstr>
      <vt:lpstr>Daten.EK</vt:lpstr>
      <vt:lpstr>Daten.Material</vt:lpstr>
      <vt:lpstr>Daten.Oberfläche</vt:lpstr>
      <vt:lpstr>Daten.Schweißen</vt:lpstr>
      <vt:lpstr>Daten.SKP</vt:lpstr>
      <vt:lpstr>Daten.Stärke</vt:lpstr>
      <vt:lpstr>Daten.VKDE</vt:lpstr>
      <vt:lpstr>Daten.VKIT</vt:lpstr>
      <vt:lpstr>Eingabe.Ausrichtung</vt:lpstr>
      <vt:lpstr>Eingabe.DurchmesserStärke</vt:lpstr>
      <vt:lpstr>Eingabe.Länge</vt:lpstr>
      <vt:lpstr>Eingabe.Material</vt:lpstr>
      <vt:lpstr>Eingabe.Menge</vt:lpstr>
      <vt:lpstr>Eingabe.Nummer</vt:lpstr>
      <vt:lpstr>Eingabe.Oberfläche</vt:lpstr>
      <vt:lpstr>Eingabe.Typen</vt:lpstr>
      <vt:lpstr>Filter.Artikeltyp</vt:lpstr>
      <vt:lpstr>Filter.Ausrichtung</vt:lpstr>
      <vt:lpstr>Filter.Durchmesser</vt:lpstr>
      <vt:lpstr>Filter.Kundenart</vt:lpstr>
      <vt:lpstr>Filter.KundenNat</vt:lpstr>
      <vt:lpstr>Filter.Material</vt:lpstr>
      <vt:lpstr>Filter.Nummer</vt:lpstr>
      <vt:lpstr>Filter.Oberfläche</vt:lpstr>
      <vt:lpstr>Filter.Sprache</vt:lpstr>
      <vt:lpstr>Liste.Artikel</vt:lpstr>
      <vt:lpstr>Preis.AufschlagEK</vt:lpstr>
      <vt:lpstr>Preis.SatzSKP</vt:lpstr>
      <vt:lpstr>Preis.SatzVKP</vt:lpstr>
      <vt:lpstr>Sprache.Ausgabe</vt:lpstr>
      <vt:lpstr>Sprache.Interface</vt:lpstr>
      <vt:lpstr>Sprache.Kunde</vt:lpstr>
      <vt:lpstr>Text.WPS</vt:lpstr>
      <vt:lpstr>Zeit.Bohren</vt:lpstr>
      <vt:lpstr>Zeit.BohrenRst</vt:lpstr>
      <vt:lpstr>Zeit.Polieren</vt:lpstr>
      <vt:lpstr>Zeit.Schweißen</vt:lpstr>
      <vt:lpstr>Zeit.SchweißenRst</vt:lpstr>
      <vt:lpstr>Zeit.Zeichnen</vt:lpstr>
      <vt:lpstr>Zeit.Zuschneiden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Bacher</dc:creator>
  <cp:lastModifiedBy>Lukas Bacher</cp:lastModifiedBy>
  <dcterms:created xsi:type="dcterms:W3CDTF">2014-05-29T09:40:10Z</dcterms:created>
  <dcterms:modified xsi:type="dcterms:W3CDTF">2022-07-01T12:56:30Z</dcterms:modified>
</cp:coreProperties>
</file>